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d.docs.live.net/B142A4CAD72D80F4/"/>
    </mc:Choice>
  </mc:AlternateContent>
  <xr:revisionPtr revIDLastSave="0" documentId="8_{165E545E-8D64-4589-BB74-A23499AB1A29}" xr6:coauthVersionLast="47" xr6:coauthVersionMax="47" xr10:uidLastSave="{00000000-0000-0000-0000-000000000000}"/>
  <bookViews>
    <workbookView xWindow="-120" yWindow="-120" windowWidth="20640" windowHeight="11160" firstSheet="7" activeTab="7" xr2:uid="{00000000-000D-0000-FFFF-FFFF00000000}"/>
  </bookViews>
  <sheets>
    <sheet name="CRM_Leads" sheetId="1" r:id="rId1"/>
    <sheet name="VOC_Feedback" sheetId="2" r:id="rId2"/>
    <sheet name="Sales_Performance" sheetId="3" r:id="rId3"/>
    <sheet name="Marketing_Campaigns" sheetId="4" r:id="rId4"/>
    <sheet name="KPI_Summary" sheetId="5" r:id="rId5"/>
    <sheet name="Pivot_Tables" sheetId="6" r:id="rId6"/>
    <sheet name="KPI_Calculations" sheetId="7" r:id="rId7"/>
    <sheet name="Dashboard" sheetId="8" r:id="rId8"/>
  </sheets>
  <definedNames>
    <definedName name="_xlchart.v2.0" hidden="1">Pivot_Tables!$A$16:$A$21</definedName>
    <definedName name="_xlchart.v2.1" hidden="1">Pivot_Tables!$B$15</definedName>
    <definedName name="_xlchart.v2.2" hidden="1">Pivot_Tables!$B$16:$B$21</definedName>
    <definedName name="_xlchart.v2.3" hidden="1">Pivot_Tables!$A$16:$A$21</definedName>
    <definedName name="_xlchart.v2.4" hidden="1">Pivot_Tables!$B$15</definedName>
    <definedName name="_xlchart.v2.5" hidden="1">Pivot_Tables!$B$16:$B$21</definedName>
    <definedName name="Slicer_Lead_Source">#N/A</definedName>
    <definedName name="Slicer_Region">#N/A</definedName>
    <definedName name="Slicer_Sales_Rep">#N/A</definedName>
  </definedNames>
  <calcPr calcId="191028"/>
  <pivotCaches>
    <pivotCache cacheId="365" r:id="rId9"/>
    <pivotCache cacheId="366" r:id="rId10"/>
    <pivotCache cacheId="36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7" l="1"/>
  <c r="B3" i="7"/>
  <c r="B8" i="7"/>
  <c r="L5" i="1"/>
  <c r="L7" i="1"/>
  <c r="L6" i="1"/>
  <c r="L4" i="1"/>
  <c r="L3" i="1"/>
  <c r="L2" i="1"/>
</calcChain>
</file>

<file path=xl/sharedStrings.xml><?xml version="1.0" encoding="utf-8"?>
<sst xmlns="http://schemas.openxmlformats.org/spreadsheetml/2006/main" count="11115" uniqueCount="3470">
  <si>
    <t>Lead_ID</t>
  </si>
  <si>
    <t>Customer_Name</t>
  </si>
  <si>
    <t>Lead_Source</t>
  </si>
  <si>
    <t>Region</t>
  </si>
  <si>
    <t>Sales_Rep</t>
  </si>
  <si>
    <t>Created_Date</t>
  </si>
  <si>
    <t>Lead_Status</t>
  </si>
  <si>
    <t>Revenue</t>
  </si>
  <si>
    <t>Response_Time_Days</t>
  </si>
  <si>
    <t>KPI_Name</t>
  </si>
  <si>
    <t>Value</t>
  </si>
  <si>
    <t>L0001</t>
  </si>
  <si>
    <t>Customer_1</t>
  </si>
  <si>
    <t>Email Campaign</t>
  </si>
  <si>
    <t>Vizag</t>
  </si>
  <si>
    <t>Suresh</t>
  </si>
  <si>
    <t>2025-06-21</t>
  </si>
  <si>
    <t>Negotiation</t>
  </si>
  <si>
    <t>Total Leads</t>
  </si>
  <si>
    <t>L0002</t>
  </si>
  <si>
    <t>Customer_2</t>
  </si>
  <si>
    <t>LinkedIn</t>
  </si>
  <si>
    <t>Bangalore</t>
  </si>
  <si>
    <t>Anjali</t>
  </si>
  <si>
    <t>2025-12-01</t>
  </si>
  <si>
    <t>Lost</t>
  </si>
  <si>
    <t>Converted Leads</t>
  </si>
  <si>
    <t>L0003</t>
  </si>
  <si>
    <t>Customer_3</t>
  </si>
  <si>
    <t>Referral</t>
  </si>
  <si>
    <t>Ravi</t>
  </si>
  <si>
    <t>2025-08-02</t>
  </si>
  <si>
    <t>Lost Leads</t>
  </si>
  <si>
    <t>L0004</t>
  </si>
  <si>
    <t>Customer_4</t>
  </si>
  <si>
    <t>Website</t>
  </si>
  <si>
    <t>Hyderabad</t>
  </si>
  <si>
    <t>2025-01-10</t>
  </si>
  <si>
    <t>New</t>
  </si>
  <si>
    <t>Conversion Rate</t>
  </si>
  <si>
    <t>L0005</t>
  </si>
  <si>
    <t>Customer_5</t>
  </si>
  <si>
    <t>Priya</t>
  </si>
  <si>
    <t>2025-03-19</t>
  </si>
  <si>
    <t>Total Revenue</t>
  </si>
  <si>
    <t>L0006</t>
  </si>
  <si>
    <t>Customer_6</t>
  </si>
  <si>
    <t>Cold Call</t>
  </si>
  <si>
    <t>2025-08-07</t>
  </si>
  <si>
    <t>Qualified</t>
  </si>
  <si>
    <t>Average Response Time</t>
  </si>
  <si>
    <t>L0007</t>
  </si>
  <si>
    <t>Customer_7</t>
  </si>
  <si>
    <t>2026-01-01</t>
  </si>
  <si>
    <t>Converted</t>
  </si>
  <si>
    <t>Total Feedbacks</t>
  </si>
  <si>
    <t>L0008</t>
  </si>
  <si>
    <t>Customer_8</t>
  </si>
  <si>
    <t>Chennai</t>
  </si>
  <si>
    <t>2025-08-31</t>
  </si>
  <si>
    <t>Average NPS Score</t>
  </si>
  <si>
    <t>L0009</t>
  </si>
  <si>
    <t>Customer_9</t>
  </si>
  <si>
    <t>Trade Show</t>
  </si>
  <si>
    <t>2025-03-07</t>
  </si>
  <si>
    <t>L0010</t>
  </si>
  <si>
    <t>Customer_10</t>
  </si>
  <si>
    <t>2025-09-02</t>
  </si>
  <si>
    <t>L0011</t>
  </si>
  <si>
    <t>Customer_11</t>
  </si>
  <si>
    <t>2025-08-03</t>
  </si>
  <si>
    <t>L0012</t>
  </si>
  <si>
    <t>Customer_12</t>
  </si>
  <si>
    <t>Kiran</t>
  </si>
  <si>
    <t>2025-10-10</t>
  </si>
  <si>
    <t>Proposal</t>
  </si>
  <si>
    <t>L0013</t>
  </si>
  <si>
    <t>Customer_13</t>
  </si>
  <si>
    <t>Mumbai</t>
  </si>
  <si>
    <t>2026-04-26</t>
  </si>
  <si>
    <t>L0014</t>
  </si>
  <si>
    <t>Customer_14</t>
  </si>
  <si>
    <t>L0015</t>
  </si>
  <si>
    <t>Customer_15</t>
  </si>
  <si>
    <t>2025-03-05</t>
  </si>
  <si>
    <t>L0016</t>
  </si>
  <si>
    <t>Customer_16</t>
  </si>
  <si>
    <t>2026-01-24</t>
  </si>
  <si>
    <t>L0017</t>
  </si>
  <si>
    <t>Customer_17</t>
  </si>
  <si>
    <t>2025-02-06</t>
  </si>
  <si>
    <t>L0018</t>
  </si>
  <si>
    <t>Customer_18</t>
  </si>
  <si>
    <t>2025-03-24</t>
  </si>
  <si>
    <t>L0019</t>
  </si>
  <si>
    <t>Customer_19</t>
  </si>
  <si>
    <t>2025-11-29</t>
  </si>
  <si>
    <t>L0020</t>
  </si>
  <si>
    <t>Customer_20</t>
  </si>
  <si>
    <t>2025-05-09</t>
  </si>
  <si>
    <t>L0021</t>
  </si>
  <si>
    <t>Customer_21</t>
  </si>
  <si>
    <t>2026-01-07</t>
  </si>
  <si>
    <t>L0022</t>
  </si>
  <si>
    <t>Customer_22</t>
  </si>
  <si>
    <t>2026-05-05</t>
  </si>
  <si>
    <t>L0023</t>
  </si>
  <si>
    <t>Customer_23</t>
  </si>
  <si>
    <t>2025-12-17</t>
  </si>
  <si>
    <t>L0024</t>
  </si>
  <si>
    <t>Customer_24</t>
  </si>
  <si>
    <t>2025-03-02</t>
  </si>
  <si>
    <t>L0025</t>
  </si>
  <si>
    <t>Customer_25</t>
  </si>
  <si>
    <t>2025-11-19</t>
  </si>
  <si>
    <t>L0026</t>
  </si>
  <si>
    <t>Customer_26</t>
  </si>
  <si>
    <t>2025-06-24</t>
  </si>
  <si>
    <t>L0027</t>
  </si>
  <si>
    <t>Customer_27</t>
  </si>
  <si>
    <t>2025-04-15</t>
  </si>
  <si>
    <t>L0028</t>
  </si>
  <si>
    <t>Customer_28</t>
  </si>
  <si>
    <t>2026-01-25</t>
  </si>
  <si>
    <t>L0029</t>
  </si>
  <si>
    <t>Customer_29</t>
  </si>
  <si>
    <t>2026-02-08</t>
  </si>
  <si>
    <t>L0030</t>
  </si>
  <si>
    <t>Customer_30</t>
  </si>
  <si>
    <t>2025-09-19</t>
  </si>
  <si>
    <t>L0031</t>
  </si>
  <si>
    <t>Customer_31</t>
  </si>
  <si>
    <t>2026-05-11</t>
  </si>
  <si>
    <t>L0032</t>
  </si>
  <si>
    <t>Customer_32</t>
  </si>
  <si>
    <t>2025-02-04</t>
  </si>
  <si>
    <t>L0033</t>
  </si>
  <si>
    <t>Customer_33</t>
  </si>
  <si>
    <t>2025-02-08</t>
  </si>
  <si>
    <t>L0034</t>
  </si>
  <si>
    <t>Customer_34</t>
  </si>
  <si>
    <t>2025-05-14</t>
  </si>
  <si>
    <t>L0035</t>
  </si>
  <si>
    <t>Customer_35</t>
  </si>
  <si>
    <t>2025-09-26</t>
  </si>
  <si>
    <t>L0036</t>
  </si>
  <si>
    <t>Customer_36</t>
  </si>
  <si>
    <t>2025-05-08</t>
  </si>
  <si>
    <t>L0037</t>
  </si>
  <si>
    <t>Customer_37</t>
  </si>
  <si>
    <t>2026-02-23</t>
  </si>
  <si>
    <t>L0038</t>
  </si>
  <si>
    <t>Customer_38</t>
  </si>
  <si>
    <t>2026-03-11</t>
  </si>
  <si>
    <t>L0039</t>
  </si>
  <si>
    <t>Customer_39</t>
  </si>
  <si>
    <t>2025-12-08</t>
  </si>
  <si>
    <t>L0040</t>
  </si>
  <si>
    <t>Customer_40</t>
  </si>
  <si>
    <t>2025-02-25</t>
  </si>
  <si>
    <t>L0041</t>
  </si>
  <si>
    <t>Customer_41</t>
  </si>
  <si>
    <t>L0042</t>
  </si>
  <si>
    <t>Customer_42</t>
  </si>
  <si>
    <t>2026-05-14</t>
  </si>
  <si>
    <t>L0043</t>
  </si>
  <si>
    <t>Customer_43</t>
  </si>
  <si>
    <t>2025-02-11</t>
  </si>
  <si>
    <t>L0044</t>
  </si>
  <si>
    <t>Customer_44</t>
  </si>
  <si>
    <t>2026-03-15</t>
  </si>
  <si>
    <t>L0045</t>
  </si>
  <si>
    <t>Customer_45</t>
  </si>
  <si>
    <t>2025-06-03</t>
  </si>
  <si>
    <t>L0046</t>
  </si>
  <si>
    <t>Customer_46</t>
  </si>
  <si>
    <t>2026-02-07</t>
  </si>
  <si>
    <t>L0047</t>
  </si>
  <si>
    <t>Customer_47</t>
  </si>
  <si>
    <t>2026-01-23</t>
  </si>
  <si>
    <t>L0048</t>
  </si>
  <si>
    <t>Customer_48</t>
  </si>
  <si>
    <t>2025-06-29</t>
  </si>
  <si>
    <t>L0049</t>
  </si>
  <si>
    <t>Customer_49</t>
  </si>
  <si>
    <t>2026-01-06</t>
  </si>
  <si>
    <t>L0050</t>
  </si>
  <si>
    <t>Customer_50</t>
  </si>
  <si>
    <t>2025-03-08</t>
  </si>
  <si>
    <t>L0051</t>
  </si>
  <si>
    <t>Customer_51</t>
  </si>
  <si>
    <t>2025-08-26</t>
  </si>
  <si>
    <t>L0052</t>
  </si>
  <si>
    <t>Customer_52</t>
  </si>
  <si>
    <t>2025-04-24</t>
  </si>
  <si>
    <t>L0053</t>
  </si>
  <si>
    <t>Customer_53</t>
  </si>
  <si>
    <t>2025-06-18</t>
  </si>
  <si>
    <t>L0054</t>
  </si>
  <si>
    <t>Customer_54</t>
  </si>
  <si>
    <t>2025-03-25</t>
  </si>
  <si>
    <t>L0055</t>
  </si>
  <si>
    <t>Customer_55</t>
  </si>
  <si>
    <t>2026-03-17</t>
  </si>
  <si>
    <t>L0056</t>
  </si>
  <si>
    <t>Customer_56</t>
  </si>
  <si>
    <t>2026-03-07</t>
  </si>
  <si>
    <t>L0057</t>
  </si>
  <si>
    <t>Customer_57</t>
  </si>
  <si>
    <t>2025-09-09</t>
  </si>
  <si>
    <t>L0058</t>
  </si>
  <si>
    <t>Customer_58</t>
  </si>
  <si>
    <t>2025-03-28</t>
  </si>
  <si>
    <t>L0059</t>
  </si>
  <si>
    <t>Customer_59</t>
  </si>
  <si>
    <t>2025-03-29</t>
  </si>
  <si>
    <t>L0060</t>
  </si>
  <si>
    <t>Customer_60</t>
  </si>
  <si>
    <t>2025-11-18</t>
  </si>
  <si>
    <t>L0061</t>
  </si>
  <si>
    <t>Customer_61</t>
  </si>
  <si>
    <t>2025-07-19</t>
  </si>
  <si>
    <t>L0062</t>
  </si>
  <si>
    <t>Customer_62</t>
  </si>
  <si>
    <t>L0063</t>
  </si>
  <si>
    <t>Customer_63</t>
  </si>
  <si>
    <t>2025-12-24</t>
  </si>
  <si>
    <t>L0064</t>
  </si>
  <si>
    <t>Customer_64</t>
  </si>
  <si>
    <t>2025-01-21</t>
  </si>
  <si>
    <t>L0065</t>
  </si>
  <si>
    <t>Customer_65</t>
  </si>
  <si>
    <t>2025-04-20</t>
  </si>
  <si>
    <t>L0066</t>
  </si>
  <si>
    <t>Customer_66</t>
  </si>
  <si>
    <t>2025-04-23</t>
  </si>
  <si>
    <t>L0067</t>
  </si>
  <si>
    <t>Customer_67</t>
  </si>
  <si>
    <t>2026-04-22</t>
  </si>
  <si>
    <t>L0068</t>
  </si>
  <si>
    <t>Customer_68</t>
  </si>
  <si>
    <t>2025-12-15</t>
  </si>
  <si>
    <t>L0069</t>
  </si>
  <si>
    <t>Customer_69</t>
  </si>
  <si>
    <t>2025-12-31</t>
  </si>
  <si>
    <t>L0070</t>
  </si>
  <si>
    <t>Customer_70</t>
  </si>
  <si>
    <t>L0071</t>
  </si>
  <si>
    <t>Customer_71</t>
  </si>
  <si>
    <t>2025-02-23</t>
  </si>
  <si>
    <t>L0072</t>
  </si>
  <si>
    <t>Customer_72</t>
  </si>
  <si>
    <t>2025-05-31</t>
  </si>
  <si>
    <t>L0073</t>
  </si>
  <si>
    <t>Customer_73</t>
  </si>
  <si>
    <t>2025-12-03</t>
  </si>
  <si>
    <t>L0074</t>
  </si>
  <si>
    <t>Customer_74</t>
  </si>
  <si>
    <t>2025-01-22</t>
  </si>
  <si>
    <t>L0075</t>
  </si>
  <si>
    <t>Customer_75</t>
  </si>
  <si>
    <t>2025-01-18</t>
  </si>
  <si>
    <t>L0076</t>
  </si>
  <si>
    <t>Customer_76</t>
  </si>
  <si>
    <t>2026-03-26</t>
  </si>
  <si>
    <t>L0077</t>
  </si>
  <si>
    <t>Customer_77</t>
  </si>
  <si>
    <t>2025-03-21</t>
  </si>
  <si>
    <t>L0078</t>
  </si>
  <si>
    <t>Customer_78</t>
  </si>
  <si>
    <t>2025-10-01</t>
  </si>
  <si>
    <t>L0079</t>
  </si>
  <si>
    <t>Customer_79</t>
  </si>
  <si>
    <t>L0080</t>
  </si>
  <si>
    <t>Customer_80</t>
  </si>
  <si>
    <t>2025-10-09</t>
  </si>
  <si>
    <t>L0081</t>
  </si>
  <si>
    <t>Customer_81</t>
  </si>
  <si>
    <t>2026-03-22</t>
  </si>
  <si>
    <t>L0082</t>
  </si>
  <si>
    <t>Customer_82</t>
  </si>
  <si>
    <t>2026-02-16</t>
  </si>
  <si>
    <t>L0083</t>
  </si>
  <si>
    <t>Customer_83</t>
  </si>
  <si>
    <t>2025-09-05</t>
  </si>
  <si>
    <t>L0084</t>
  </si>
  <si>
    <t>Customer_84</t>
  </si>
  <si>
    <t>2025-05-29</t>
  </si>
  <si>
    <t>L0085</t>
  </si>
  <si>
    <t>Customer_85</t>
  </si>
  <si>
    <t>L0086</t>
  </si>
  <si>
    <t>Customer_86</t>
  </si>
  <si>
    <t>2026-01-27</t>
  </si>
  <si>
    <t>L0087</t>
  </si>
  <si>
    <t>Customer_87</t>
  </si>
  <si>
    <t>2025-08-28</t>
  </si>
  <si>
    <t>L0088</t>
  </si>
  <si>
    <t>Customer_88</t>
  </si>
  <si>
    <t>2026-04-16</t>
  </si>
  <si>
    <t>L0089</t>
  </si>
  <si>
    <t>Customer_89</t>
  </si>
  <si>
    <t>2026-02-06</t>
  </si>
  <si>
    <t>L0090</t>
  </si>
  <si>
    <t>Customer_90</t>
  </si>
  <si>
    <t>L0091</t>
  </si>
  <si>
    <t>Customer_91</t>
  </si>
  <si>
    <t>L0092</t>
  </si>
  <si>
    <t>Customer_92</t>
  </si>
  <si>
    <t>2025-04-30</t>
  </si>
  <si>
    <t>L0093</t>
  </si>
  <si>
    <t>Customer_93</t>
  </si>
  <si>
    <t>L0094</t>
  </si>
  <si>
    <t>Customer_94</t>
  </si>
  <si>
    <t>2025-11-14</t>
  </si>
  <si>
    <t>L0095</t>
  </si>
  <si>
    <t>Customer_95</t>
  </si>
  <si>
    <t>2025-08-12</t>
  </si>
  <si>
    <t>L0096</t>
  </si>
  <si>
    <t>Customer_96</t>
  </si>
  <si>
    <t>2025-12-02</t>
  </si>
  <si>
    <t>L0097</t>
  </si>
  <si>
    <t>Customer_97</t>
  </si>
  <si>
    <t>2026-02-12</t>
  </si>
  <si>
    <t>L0098</t>
  </si>
  <si>
    <t>Customer_98</t>
  </si>
  <si>
    <t>2026-01-12</t>
  </si>
  <si>
    <t>L0099</t>
  </si>
  <si>
    <t>Customer_99</t>
  </si>
  <si>
    <t>2025-08-01</t>
  </si>
  <si>
    <t>L0100</t>
  </si>
  <si>
    <t>Customer_100</t>
  </si>
  <si>
    <t>2025-04-13</t>
  </si>
  <si>
    <t>L0101</t>
  </si>
  <si>
    <t>Customer_101</t>
  </si>
  <si>
    <t>2025-07-05</t>
  </si>
  <si>
    <t>L0102</t>
  </si>
  <si>
    <t>Customer_102</t>
  </si>
  <si>
    <t>2026-04-11</t>
  </si>
  <si>
    <t>L0103</t>
  </si>
  <si>
    <t>Customer_103</t>
  </si>
  <si>
    <t>2025-06-16</t>
  </si>
  <si>
    <t>L0104</t>
  </si>
  <si>
    <t>Customer_104</t>
  </si>
  <si>
    <t>2026-04-15</t>
  </si>
  <si>
    <t>L0105</t>
  </si>
  <si>
    <t>Customer_105</t>
  </si>
  <si>
    <t>2025-04-04</t>
  </si>
  <si>
    <t>L0106</t>
  </si>
  <si>
    <t>Customer_106</t>
  </si>
  <si>
    <t>2026-03-12</t>
  </si>
  <si>
    <t>L0107</t>
  </si>
  <si>
    <t>Customer_107</t>
  </si>
  <si>
    <t>2026-02-22</t>
  </si>
  <si>
    <t>L0108</t>
  </si>
  <si>
    <t>Customer_108</t>
  </si>
  <si>
    <t>2025-05-06</t>
  </si>
  <si>
    <t>L0109</t>
  </si>
  <si>
    <t>Customer_109</t>
  </si>
  <si>
    <t>2025-02-01</t>
  </si>
  <si>
    <t>L0110</t>
  </si>
  <si>
    <t>Customer_110</t>
  </si>
  <si>
    <t>2025-01-26</t>
  </si>
  <si>
    <t>L0111</t>
  </si>
  <si>
    <t>Customer_111</t>
  </si>
  <si>
    <t>L0112</t>
  </si>
  <si>
    <t>Customer_112</t>
  </si>
  <si>
    <t>2025-02-20</t>
  </si>
  <si>
    <t>L0113</t>
  </si>
  <si>
    <t>Customer_113</t>
  </si>
  <si>
    <t>2025-05-03</t>
  </si>
  <si>
    <t>L0114</t>
  </si>
  <si>
    <t>Customer_114</t>
  </si>
  <si>
    <t>2025-04-22</t>
  </si>
  <si>
    <t>L0115</t>
  </si>
  <si>
    <t>Customer_115</t>
  </si>
  <si>
    <t>L0116</t>
  </si>
  <si>
    <t>Customer_116</t>
  </si>
  <si>
    <t>2025-05-24</t>
  </si>
  <si>
    <t>L0117</t>
  </si>
  <si>
    <t>Customer_117</t>
  </si>
  <si>
    <t>2025-11-25</t>
  </si>
  <si>
    <t>L0118</t>
  </si>
  <si>
    <t>Customer_118</t>
  </si>
  <si>
    <t>2026-03-19</t>
  </si>
  <si>
    <t>L0119</t>
  </si>
  <si>
    <t>Customer_119</t>
  </si>
  <si>
    <t>2025-05-22</t>
  </si>
  <si>
    <t>L0120</t>
  </si>
  <si>
    <t>Customer_120</t>
  </si>
  <si>
    <t>2025-05-30</t>
  </si>
  <si>
    <t>L0121</t>
  </si>
  <si>
    <t>Customer_121</t>
  </si>
  <si>
    <t>2025-04-10</t>
  </si>
  <si>
    <t>L0122</t>
  </si>
  <si>
    <t>Customer_122</t>
  </si>
  <si>
    <t>2025-01-23</t>
  </si>
  <si>
    <t>L0123</t>
  </si>
  <si>
    <t>Customer_123</t>
  </si>
  <si>
    <t>2025-03-13</t>
  </si>
  <si>
    <t>L0124</t>
  </si>
  <si>
    <t>Customer_124</t>
  </si>
  <si>
    <t>L0125</t>
  </si>
  <si>
    <t>Customer_125</t>
  </si>
  <si>
    <t>L0126</t>
  </si>
  <si>
    <t>Customer_126</t>
  </si>
  <si>
    <t>2026-01-26</t>
  </si>
  <si>
    <t>L0127</t>
  </si>
  <si>
    <t>Customer_127</t>
  </si>
  <si>
    <t>2026-05-12</t>
  </si>
  <si>
    <t>L0128</t>
  </si>
  <si>
    <t>Customer_128</t>
  </si>
  <si>
    <t>2026-03-10</t>
  </si>
  <si>
    <t>L0129</t>
  </si>
  <si>
    <t>Customer_129</t>
  </si>
  <si>
    <t>2025-02-14</t>
  </si>
  <si>
    <t>L0130</t>
  </si>
  <si>
    <t>Customer_130</t>
  </si>
  <si>
    <t>L0131</t>
  </si>
  <si>
    <t>Customer_131</t>
  </si>
  <si>
    <t>L0132</t>
  </si>
  <si>
    <t>Customer_132</t>
  </si>
  <si>
    <t>2025-01-03</t>
  </si>
  <si>
    <t>L0133</t>
  </si>
  <si>
    <t>Customer_133</t>
  </si>
  <si>
    <t>2025-07-25</t>
  </si>
  <si>
    <t>L0134</t>
  </si>
  <si>
    <t>Customer_134</t>
  </si>
  <si>
    <t>2026-03-31</t>
  </si>
  <si>
    <t>L0135</t>
  </si>
  <si>
    <t>Customer_135</t>
  </si>
  <si>
    <t>2025-10-28</t>
  </si>
  <si>
    <t>L0136</t>
  </si>
  <si>
    <t>Customer_136</t>
  </si>
  <si>
    <t>2026-03-27</t>
  </si>
  <si>
    <t>L0137</t>
  </si>
  <si>
    <t>Customer_137</t>
  </si>
  <si>
    <t>2025-11-30</t>
  </si>
  <si>
    <t>L0138</t>
  </si>
  <si>
    <t>Customer_138</t>
  </si>
  <si>
    <t>2025-11-08</t>
  </si>
  <si>
    <t>L0139</t>
  </si>
  <si>
    <t>Customer_139</t>
  </si>
  <si>
    <t>2025-02-28</t>
  </si>
  <si>
    <t>L0140</t>
  </si>
  <si>
    <t>Customer_140</t>
  </si>
  <si>
    <t>2025-01-27</t>
  </si>
  <si>
    <t>L0141</t>
  </si>
  <si>
    <t>Customer_141</t>
  </si>
  <si>
    <t>L0142</t>
  </si>
  <si>
    <t>Customer_142</t>
  </si>
  <si>
    <t>L0143</t>
  </si>
  <si>
    <t>Customer_143</t>
  </si>
  <si>
    <t>L0144</t>
  </si>
  <si>
    <t>Customer_144</t>
  </si>
  <si>
    <t>L0145</t>
  </si>
  <si>
    <t>Customer_145</t>
  </si>
  <si>
    <t>2025-12-18</t>
  </si>
  <si>
    <t>L0146</t>
  </si>
  <si>
    <t>Customer_146</t>
  </si>
  <si>
    <t>2025-09-04</t>
  </si>
  <si>
    <t>L0147</t>
  </si>
  <si>
    <t>Customer_147</t>
  </si>
  <si>
    <t>2025-03-04</t>
  </si>
  <si>
    <t>L0148</t>
  </si>
  <si>
    <t>Customer_148</t>
  </si>
  <si>
    <t>2025-03-20</t>
  </si>
  <si>
    <t>L0149</t>
  </si>
  <si>
    <t>Customer_149</t>
  </si>
  <si>
    <t>L0150</t>
  </si>
  <si>
    <t>Customer_150</t>
  </si>
  <si>
    <t>L0151</t>
  </si>
  <si>
    <t>Customer_151</t>
  </si>
  <si>
    <t>2026-03-14</t>
  </si>
  <si>
    <t>L0152</t>
  </si>
  <si>
    <t>Customer_152</t>
  </si>
  <si>
    <t>L0153</t>
  </si>
  <si>
    <t>Customer_153</t>
  </si>
  <si>
    <t>2025-06-28</t>
  </si>
  <si>
    <t>L0154</t>
  </si>
  <si>
    <t>Customer_154</t>
  </si>
  <si>
    <t>2026-05-01</t>
  </si>
  <si>
    <t>L0155</t>
  </si>
  <si>
    <t>Customer_155</t>
  </si>
  <si>
    <t>L0156</t>
  </si>
  <si>
    <t>Customer_156</t>
  </si>
  <si>
    <t>2025-10-13</t>
  </si>
  <si>
    <t>L0157</t>
  </si>
  <si>
    <t>Customer_157</t>
  </si>
  <si>
    <t>2025-12-27</t>
  </si>
  <si>
    <t>L0158</t>
  </si>
  <si>
    <t>Customer_158</t>
  </si>
  <si>
    <t>2026-04-23</t>
  </si>
  <si>
    <t>L0159</t>
  </si>
  <si>
    <t>Customer_159</t>
  </si>
  <si>
    <t>2025-09-15</t>
  </si>
  <si>
    <t>L0160</t>
  </si>
  <si>
    <t>Customer_160</t>
  </si>
  <si>
    <t>2025-01-29</t>
  </si>
  <si>
    <t>L0161</t>
  </si>
  <si>
    <t>Customer_161</t>
  </si>
  <si>
    <t>2026-04-17</t>
  </si>
  <si>
    <t>L0162</t>
  </si>
  <si>
    <t>Customer_162</t>
  </si>
  <si>
    <t>L0163</t>
  </si>
  <si>
    <t>Customer_163</t>
  </si>
  <si>
    <t>2025-10-25</t>
  </si>
  <si>
    <t>L0164</t>
  </si>
  <si>
    <t>Customer_164</t>
  </si>
  <si>
    <t>L0165</t>
  </si>
  <si>
    <t>Customer_165</t>
  </si>
  <si>
    <t>2026-01-16</t>
  </si>
  <si>
    <t>L0166</t>
  </si>
  <si>
    <t>Customer_166</t>
  </si>
  <si>
    <t>L0167</t>
  </si>
  <si>
    <t>Customer_167</t>
  </si>
  <si>
    <t>2025-09-28</t>
  </si>
  <si>
    <t>L0168</t>
  </si>
  <si>
    <t>Customer_168</t>
  </si>
  <si>
    <t>2026-03-25</t>
  </si>
  <si>
    <t>L0169</t>
  </si>
  <si>
    <t>Customer_169</t>
  </si>
  <si>
    <t>2025-12-23</t>
  </si>
  <si>
    <t>L0170</t>
  </si>
  <si>
    <t>Customer_170</t>
  </si>
  <si>
    <t>2026-01-28</t>
  </si>
  <si>
    <t>L0171</t>
  </si>
  <si>
    <t>Customer_171</t>
  </si>
  <si>
    <t>2025-07-06</t>
  </si>
  <si>
    <t>L0172</t>
  </si>
  <si>
    <t>Customer_172</t>
  </si>
  <si>
    <t>2025-08-24</t>
  </si>
  <si>
    <t>L0173</t>
  </si>
  <si>
    <t>Customer_173</t>
  </si>
  <si>
    <t>2025-04-09</t>
  </si>
  <si>
    <t>L0174</t>
  </si>
  <si>
    <t>Customer_174</t>
  </si>
  <si>
    <t>L0175</t>
  </si>
  <si>
    <t>Customer_175</t>
  </si>
  <si>
    <t>2025-10-02</t>
  </si>
  <si>
    <t>L0176</t>
  </si>
  <si>
    <t>Customer_176</t>
  </si>
  <si>
    <t>L0177</t>
  </si>
  <si>
    <t>Customer_177</t>
  </si>
  <si>
    <t>2025-05-01</t>
  </si>
  <si>
    <t>L0178</t>
  </si>
  <si>
    <t>Customer_178</t>
  </si>
  <si>
    <t>L0179</t>
  </si>
  <si>
    <t>Customer_179</t>
  </si>
  <si>
    <t>2025-06-08</t>
  </si>
  <si>
    <t>L0180</t>
  </si>
  <si>
    <t>Customer_180</t>
  </si>
  <si>
    <t>2026-01-11</t>
  </si>
  <si>
    <t>L0181</t>
  </si>
  <si>
    <t>Customer_181</t>
  </si>
  <si>
    <t>2025-11-04</t>
  </si>
  <si>
    <t>L0182</t>
  </si>
  <si>
    <t>Customer_182</t>
  </si>
  <si>
    <t>L0183</t>
  </si>
  <si>
    <t>Customer_183</t>
  </si>
  <si>
    <t>2025-09-27</t>
  </si>
  <si>
    <t>L0184</t>
  </si>
  <si>
    <t>Customer_184</t>
  </si>
  <si>
    <t>2026-03-01</t>
  </si>
  <si>
    <t>L0185</t>
  </si>
  <si>
    <t>Customer_185</t>
  </si>
  <si>
    <t>2025-08-17</t>
  </si>
  <si>
    <t>L0186</t>
  </si>
  <si>
    <t>Customer_186</t>
  </si>
  <si>
    <t>2025-10-05</t>
  </si>
  <si>
    <t>L0187</t>
  </si>
  <si>
    <t>Customer_187</t>
  </si>
  <si>
    <t>2025-05-15</t>
  </si>
  <si>
    <t>L0188</t>
  </si>
  <si>
    <t>Customer_188</t>
  </si>
  <si>
    <t>2025-06-14</t>
  </si>
  <si>
    <t>L0189</t>
  </si>
  <si>
    <t>Customer_189</t>
  </si>
  <si>
    <t>2026-01-22</t>
  </si>
  <si>
    <t>L0190</t>
  </si>
  <si>
    <t>Customer_190</t>
  </si>
  <si>
    <t>L0191</t>
  </si>
  <si>
    <t>Customer_191</t>
  </si>
  <si>
    <t>L0192</t>
  </si>
  <si>
    <t>Customer_192</t>
  </si>
  <si>
    <t>L0193</t>
  </si>
  <si>
    <t>Customer_193</t>
  </si>
  <si>
    <t>2025-07-26</t>
  </si>
  <si>
    <t>L0194</t>
  </si>
  <si>
    <t>Customer_194</t>
  </si>
  <si>
    <t>L0195</t>
  </si>
  <si>
    <t>Customer_195</t>
  </si>
  <si>
    <t>2025-08-21</t>
  </si>
  <si>
    <t>L0196</t>
  </si>
  <si>
    <t>Customer_196</t>
  </si>
  <si>
    <t>2025-10-24</t>
  </si>
  <si>
    <t>L0197</t>
  </si>
  <si>
    <t>Customer_197</t>
  </si>
  <si>
    <t>2025-04-02</t>
  </si>
  <si>
    <t>L0198</t>
  </si>
  <si>
    <t>Customer_198</t>
  </si>
  <si>
    <t>2025-10-26</t>
  </si>
  <si>
    <t>L0199</t>
  </si>
  <si>
    <t>Customer_199</t>
  </si>
  <si>
    <t>L0200</t>
  </si>
  <si>
    <t>Customer_200</t>
  </si>
  <si>
    <t>2025-05-13</t>
  </si>
  <si>
    <t>L0201</t>
  </si>
  <si>
    <t>Customer_201</t>
  </si>
  <si>
    <t>2026-01-15</t>
  </si>
  <si>
    <t>L0202</t>
  </si>
  <si>
    <t>Customer_202</t>
  </si>
  <si>
    <t>2026-03-30</t>
  </si>
  <si>
    <t>L0203</t>
  </si>
  <si>
    <t>Customer_203</t>
  </si>
  <si>
    <t>L0204</t>
  </si>
  <si>
    <t>Customer_204</t>
  </si>
  <si>
    <t>2026-02-27</t>
  </si>
  <si>
    <t>L0205</t>
  </si>
  <si>
    <t>Customer_205</t>
  </si>
  <si>
    <t>2025-09-30</t>
  </si>
  <si>
    <t>L0206</t>
  </si>
  <si>
    <t>Customer_206</t>
  </si>
  <si>
    <t>2025-06-11</t>
  </si>
  <si>
    <t>L0207</t>
  </si>
  <si>
    <t>Customer_207</t>
  </si>
  <si>
    <t>2025-06-25</t>
  </si>
  <si>
    <t>L0208</t>
  </si>
  <si>
    <t>Customer_208</t>
  </si>
  <si>
    <t>L0209</t>
  </si>
  <si>
    <t>Customer_209</t>
  </si>
  <si>
    <t>L0210</t>
  </si>
  <si>
    <t>Customer_210</t>
  </si>
  <si>
    <t>L0211</t>
  </si>
  <si>
    <t>Customer_211</t>
  </si>
  <si>
    <t>L0212</t>
  </si>
  <si>
    <t>Customer_212</t>
  </si>
  <si>
    <t>L0213</t>
  </si>
  <si>
    <t>Customer_213</t>
  </si>
  <si>
    <t>2025-07-02</t>
  </si>
  <si>
    <t>L0214</t>
  </si>
  <si>
    <t>Customer_214</t>
  </si>
  <si>
    <t>2025-12-05</t>
  </si>
  <si>
    <t>L0215</t>
  </si>
  <si>
    <t>Customer_215</t>
  </si>
  <si>
    <t>L0216</t>
  </si>
  <si>
    <t>Customer_216</t>
  </si>
  <si>
    <t>2026-04-14</t>
  </si>
  <si>
    <t>L0217</t>
  </si>
  <si>
    <t>Customer_217</t>
  </si>
  <si>
    <t>2025-03-31</t>
  </si>
  <si>
    <t>L0218</t>
  </si>
  <si>
    <t>Customer_218</t>
  </si>
  <si>
    <t>L0219</t>
  </si>
  <si>
    <t>Customer_219</t>
  </si>
  <si>
    <t>L0220</t>
  </si>
  <si>
    <t>Customer_220</t>
  </si>
  <si>
    <t>L0221</t>
  </si>
  <si>
    <t>Customer_221</t>
  </si>
  <si>
    <t>L0222</t>
  </si>
  <si>
    <t>Customer_222</t>
  </si>
  <si>
    <t>2025-10-14</t>
  </si>
  <si>
    <t>L0223</t>
  </si>
  <si>
    <t>Customer_223</t>
  </si>
  <si>
    <t>L0224</t>
  </si>
  <si>
    <t>Customer_224</t>
  </si>
  <si>
    <t>2025-11-06</t>
  </si>
  <si>
    <t>L0225</t>
  </si>
  <si>
    <t>Customer_225</t>
  </si>
  <si>
    <t>2025-04-17</t>
  </si>
  <si>
    <t>L0226</t>
  </si>
  <si>
    <t>Customer_226</t>
  </si>
  <si>
    <t>2025-08-15</t>
  </si>
  <si>
    <t>L0227</t>
  </si>
  <si>
    <t>Customer_227</t>
  </si>
  <si>
    <t>2025-10-17</t>
  </si>
  <si>
    <t>L0228</t>
  </si>
  <si>
    <t>Customer_228</t>
  </si>
  <si>
    <t>2025-12-22</t>
  </si>
  <si>
    <t>L0229</t>
  </si>
  <si>
    <t>Customer_229</t>
  </si>
  <si>
    <t>2026-03-24</t>
  </si>
  <si>
    <t>L0230</t>
  </si>
  <si>
    <t>Customer_230</t>
  </si>
  <si>
    <t>2025-10-15</t>
  </si>
  <si>
    <t>L0231</t>
  </si>
  <si>
    <t>Customer_231</t>
  </si>
  <si>
    <t>L0232</t>
  </si>
  <si>
    <t>Customer_232</t>
  </si>
  <si>
    <t>L0233</t>
  </si>
  <si>
    <t>Customer_233</t>
  </si>
  <si>
    <t>2025-07-11</t>
  </si>
  <si>
    <t>L0234</t>
  </si>
  <si>
    <t>Customer_234</t>
  </si>
  <si>
    <t>L0235</t>
  </si>
  <si>
    <t>Customer_235</t>
  </si>
  <si>
    <t>L0236</t>
  </si>
  <si>
    <t>Customer_236</t>
  </si>
  <si>
    <t>2025-07-30</t>
  </si>
  <si>
    <t>L0237</t>
  </si>
  <si>
    <t>Customer_237</t>
  </si>
  <si>
    <t>2025-03-06</t>
  </si>
  <si>
    <t>L0238</t>
  </si>
  <si>
    <t>Customer_238</t>
  </si>
  <si>
    <t>L0239</t>
  </si>
  <si>
    <t>Customer_239</t>
  </si>
  <si>
    <t>2026-01-20</t>
  </si>
  <si>
    <t>L0240</t>
  </si>
  <si>
    <t>Customer_240</t>
  </si>
  <si>
    <t>L0241</t>
  </si>
  <si>
    <t>Customer_241</t>
  </si>
  <si>
    <t>2025-09-25</t>
  </si>
  <si>
    <t>L0242</t>
  </si>
  <si>
    <t>Customer_242</t>
  </si>
  <si>
    <t>2025-10-04</t>
  </si>
  <si>
    <t>L0243</t>
  </si>
  <si>
    <t>Customer_243</t>
  </si>
  <si>
    <t>2025-06-22</t>
  </si>
  <si>
    <t>L0244</t>
  </si>
  <si>
    <t>Customer_244</t>
  </si>
  <si>
    <t>L0245</t>
  </si>
  <si>
    <t>Customer_245</t>
  </si>
  <si>
    <t>2025-08-23</t>
  </si>
  <si>
    <t>L0246</t>
  </si>
  <si>
    <t>Customer_246</t>
  </si>
  <si>
    <t>2025-11-20</t>
  </si>
  <si>
    <t>L0247</t>
  </si>
  <si>
    <t>Customer_247</t>
  </si>
  <si>
    <t>2026-03-16</t>
  </si>
  <si>
    <t>L0248</t>
  </si>
  <si>
    <t>Customer_248</t>
  </si>
  <si>
    <t>2025-11-09</t>
  </si>
  <si>
    <t>L0249</t>
  </si>
  <si>
    <t>Customer_249</t>
  </si>
  <si>
    <t>2025-06-20</t>
  </si>
  <si>
    <t>L0250</t>
  </si>
  <si>
    <t>Customer_250</t>
  </si>
  <si>
    <t>L0251</t>
  </si>
  <si>
    <t>Customer_251</t>
  </si>
  <si>
    <t>2025-08-04</t>
  </si>
  <si>
    <t>L0252</t>
  </si>
  <si>
    <t>Customer_252</t>
  </si>
  <si>
    <t>2026-05-15</t>
  </si>
  <si>
    <t>L0253</t>
  </si>
  <si>
    <t>Customer_253</t>
  </si>
  <si>
    <t>L0254</t>
  </si>
  <si>
    <t>Customer_254</t>
  </si>
  <si>
    <t>2025-09-21</t>
  </si>
  <si>
    <t>L0255</t>
  </si>
  <si>
    <t>Customer_255</t>
  </si>
  <si>
    <t>2026-04-06</t>
  </si>
  <si>
    <t>L0256</t>
  </si>
  <si>
    <t>Customer_256</t>
  </si>
  <si>
    <t>2025-12-26</t>
  </si>
  <si>
    <t>L0257</t>
  </si>
  <si>
    <t>Customer_257</t>
  </si>
  <si>
    <t>2025-06-04</t>
  </si>
  <si>
    <t>L0258</t>
  </si>
  <si>
    <t>Customer_258</t>
  </si>
  <si>
    <t>L0259</t>
  </si>
  <si>
    <t>Customer_259</t>
  </si>
  <si>
    <t>2026-04-24</t>
  </si>
  <si>
    <t>L0260</t>
  </si>
  <si>
    <t>Customer_260</t>
  </si>
  <si>
    <t>L0261</t>
  </si>
  <si>
    <t>Customer_261</t>
  </si>
  <si>
    <t>2026-02-20</t>
  </si>
  <si>
    <t>L0262</t>
  </si>
  <si>
    <t>Customer_262</t>
  </si>
  <si>
    <t>2025-01-28</t>
  </si>
  <si>
    <t>L0263</t>
  </si>
  <si>
    <t>Customer_263</t>
  </si>
  <si>
    <t>L0264</t>
  </si>
  <si>
    <t>Customer_264</t>
  </si>
  <si>
    <t>2025-10-12</t>
  </si>
  <si>
    <t>L0265</t>
  </si>
  <si>
    <t>Customer_265</t>
  </si>
  <si>
    <t>2025-05-25</t>
  </si>
  <si>
    <t>L0266</t>
  </si>
  <si>
    <t>Customer_266</t>
  </si>
  <si>
    <t>2025-01-24</t>
  </si>
  <si>
    <t>L0267</t>
  </si>
  <si>
    <t>Customer_267</t>
  </si>
  <si>
    <t>2026-01-21</t>
  </si>
  <si>
    <t>L0268</t>
  </si>
  <si>
    <t>Customer_268</t>
  </si>
  <si>
    <t>L0269</t>
  </si>
  <si>
    <t>Customer_269</t>
  </si>
  <si>
    <t>2025-03-09</t>
  </si>
  <si>
    <t>L0270</t>
  </si>
  <si>
    <t>Customer_270</t>
  </si>
  <si>
    <t>L0271</t>
  </si>
  <si>
    <t>Customer_271</t>
  </si>
  <si>
    <t>L0272</t>
  </si>
  <si>
    <t>Customer_272</t>
  </si>
  <si>
    <t>L0273</t>
  </si>
  <si>
    <t>Customer_273</t>
  </si>
  <si>
    <t>2025-01-31</t>
  </si>
  <si>
    <t>L0274</t>
  </si>
  <si>
    <t>Customer_274</t>
  </si>
  <si>
    <t>L0275</t>
  </si>
  <si>
    <t>Customer_275</t>
  </si>
  <si>
    <t>2025-04-29</t>
  </si>
  <si>
    <t>L0276</t>
  </si>
  <si>
    <t>Customer_276</t>
  </si>
  <si>
    <t>L0277</t>
  </si>
  <si>
    <t>Customer_277</t>
  </si>
  <si>
    <t>2025-04-18</t>
  </si>
  <si>
    <t>L0278</t>
  </si>
  <si>
    <t>Customer_278</t>
  </si>
  <si>
    <t>L0279</t>
  </si>
  <si>
    <t>Customer_279</t>
  </si>
  <si>
    <t>2026-04-12</t>
  </si>
  <si>
    <t>L0280</t>
  </si>
  <si>
    <t>Customer_280</t>
  </si>
  <si>
    <t>L0281</t>
  </si>
  <si>
    <t>Customer_281</t>
  </si>
  <si>
    <t>2026-02-26</t>
  </si>
  <si>
    <t>L0282</t>
  </si>
  <si>
    <t>Customer_282</t>
  </si>
  <si>
    <t>L0283</t>
  </si>
  <si>
    <t>Customer_283</t>
  </si>
  <si>
    <t>L0284</t>
  </si>
  <si>
    <t>Customer_284</t>
  </si>
  <si>
    <t>L0285</t>
  </si>
  <si>
    <t>Customer_285</t>
  </si>
  <si>
    <t>2025-09-17</t>
  </si>
  <si>
    <t>L0286</t>
  </si>
  <si>
    <t>Customer_286</t>
  </si>
  <si>
    <t>2026-04-18</t>
  </si>
  <si>
    <t>L0287</t>
  </si>
  <si>
    <t>Customer_287</t>
  </si>
  <si>
    <t>L0288</t>
  </si>
  <si>
    <t>Customer_288</t>
  </si>
  <si>
    <t>L0289</t>
  </si>
  <si>
    <t>Customer_289</t>
  </si>
  <si>
    <t>L0290</t>
  </si>
  <si>
    <t>Customer_290</t>
  </si>
  <si>
    <t>2026-04-01</t>
  </si>
  <si>
    <t>L0291</t>
  </si>
  <si>
    <t>Customer_291</t>
  </si>
  <si>
    <t>2025-12-14</t>
  </si>
  <si>
    <t>L0292</t>
  </si>
  <si>
    <t>Customer_292</t>
  </si>
  <si>
    <t>2025-09-06</t>
  </si>
  <si>
    <t>L0293</t>
  </si>
  <si>
    <t>Customer_293</t>
  </si>
  <si>
    <t>2025-10-30</t>
  </si>
  <si>
    <t>L0294</t>
  </si>
  <si>
    <t>Customer_294</t>
  </si>
  <si>
    <t>L0295</t>
  </si>
  <si>
    <t>Customer_295</t>
  </si>
  <si>
    <t>L0296</t>
  </si>
  <si>
    <t>Customer_296</t>
  </si>
  <si>
    <t>L0297</t>
  </si>
  <si>
    <t>Customer_297</t>
  </si>
  <si>
    <t>2025-08-05</t>
  </si>
  <si>
    <t>L0298</t>
  </si>
  <si>
    <t>Customer_298</t>
  </si>
  <si>
    <t>L0299</t>
  </si>
  <si>
    <t>Customer_299</t>
  </si>
  <si>
    <t>2025-12-04</t>
  </si>
  <si>
    <t>L0300</t>
  </si>
  <si>
    <t>Customer_300</t>
  </si>
  <si>
    <t>2026-05-03</t>
  </si>
  <si>
    <t>L0301</t>
  </si>
  <si>
    <t>Customer_301</t>
  </si>
  <si>
    <t>2025-08-30</t>
  </si>
  <si>
    <t>L0302</t>
  </si>
  <si>
    <t>Customer_302</t>
  </si>
  <si>
    <t>L0303</t>
  </si>
  <si>
    <t>Customer_303</t>
  </si>
  <si>
    <t>L0304</t>
  </si>
  <si>
    <t>Customer_304</t>
  </si>
  <si>
    <t>2025-10-18</t>
  </si>
  <si>
    <t>L0305</t>
  </si>
  <si>
    <t>Customer_305</t>
  </si>
  <si>
    <t>2025-08-18</t>
  </si>
  <si>
    <t>L0306</t>
  </si>
  <si>
    <t>Customer_306</t>
  </si>
  <si>
    <t>2025-03-03</t>
  </si>
  <si>
    <t>L0307</t>
  </si>
  <si>
    <t>Customer_307</t>
  </si>
  <si>
    <t>2026-01-31</t>
  </si>
  <si>
    <t>L0308</t>
  </si>
  <si>
    <t>Customer_308</t>
  </si>
  <si>
    <t>2025-11-10</t>
  </si>
  <si>
    <t>L0309</t>
  </si>
  <si>
    <t>Customer_309</t>
  </si>
  <si>
    <t>2025-06-09</t>
  </si>
  <si>
    <t>L0310</t>
  </si>
  <si>
    <t>Customer_310</t>
  </si>
  <si>
    <t>2026-02-25</t>
  </si>
  <si>
    <t>L0311</t>
  </si>
  <si>
    <t>Customer_311</t>
  </si>
  <si>
    <t>L0312</t>
  </si>
  <si>
    <t>Customer_312</t>
  </si>
  <si>
    <t>2025-07-09</t>
  </si>
  <si>
    <t>L0313</t>
  </si>
  <si>
    <t>Customer_313</t>
  </si>
  <si>
    <t>2025-09-18</t>
  </si>
  <si>
    <t>L0314</t>
  </si>
  <si>
    <t>Customer_314</t>
  </si>
  <si>
    <t>2025-03-17</t>
  </si>
  <si>
    <t>L0315</t>
  </si>
  <si>
    <t>Customer_315</t>
  </si>
  <si>
    <t>2025-10-06</t>
  </si>
  <si>
    <t>L0316</t>
  </si>
  <si>
    <t>Customer_316</t>
  </si>
  <si>
    <t>2026-03-03</t>
  </si>
  <si>
    <t>L0317</t>
  </si>
  <si>
    <t>Customer_317</t>
  </si>
  <si>
    <t>2025-05-27</t>
  </si>
  <si>
    <t>L0318</t>
  </si>
  <si>
    <t>Customer_318</t>
  </si>
  <si>
    <t>2025-02-17</t>
  </si>
  <si>
    <t>L0319</t>
  </si>
  <si>
    <t>Customer_319</t>
  </si>
  <si>
    <t>2025-11-12</t>
  </si>
  <si>
    <t>L0320</t>
  </si>
  <si>
    <t>Customer_320</t>
  </si>
  <si>
    <t>L0321</t>
  </si>
  <si>
    <t>Customer_321</t>
  </si>
  <si>
    <t>2025-03-14</t>
  </si>
  <si>
    <t>L0322</t>
  </si>
  <si>
    <t>Customer_322</t>
  </si>
  <si>
    <t>2025-11-03</t>
  </si>
  <si>
    <t>L0323</t>
  </si>
  <si>
    <t>Customer_323</t>
  </si>
  <si>
    <t>L0324</t>
  </si>
  <si>
    <t>Customer_324</t>
  </si>
  <si>
    <t>2025-02-22</t>
  </si>
  <si>
    <t>L0325</t>
  </si>
  <si>
    <t>Customer_325</t>
  </si>
  <si>
    <t>L0326</t>
  </si>
  <si>
    <t>Customer_326</t>
  </si>
  <si>
    <t>L0327</t>
  </si>
  <si>
    <t>Customer_327</t>
  </si>
  <si>
    <t>L0328</t>
  </si>
  <si>
    <t>Customer_328</t>
  </si>
  <si>
    <t>2025-01-08</t>
  </si>
  <si>
    <t>L0329</t>
  </si>
  <si>
    <t>Customer_329</t>
  </si>
  <si>
    <t>L0330</t>
  </si>
  <si>
    <t>Customer_330</t>
  </si>
  <si>
    <t>L0331</t>
  </si>
  <si>
    <t>Customer_331</t>
  </si>
  <si>
    <t>L0332</t>
  </si>
  <si>
    <t>Customer_332</t>
  </si>
  <si>
    <t>L0333</t>
  </si>
  <si>
    <t>Customer_333</t>
  </si>
  <si>
    <t>L0334</t>
  </si>
  <si>
    <t>Customer_334</t>
  </si>
  <si>
    <t>2025-05-21</t>
  </si>
  <si>
    <t>L0335</t>
  </si>
  <si>
    <t>Customer_335</t>
  </si>
  <si>
    <t>2025-04-08</t>
  </si>
  <si>
    <t>L0336</t>
  </si>
  <si>
    <t>Customer_336</t>
  </si>
  <si>
    <t>2025-03-30</t>
  </si>
  <si>
    <t>L0337</t>
  </si>
  <si>
    <t>Customer_337</t>
  </si>
  <si>
    <t>2025-08-09</t>
  </si>
  <si>
    <t>L0338</t>
  </si>
  <si>
    <t>Customer_338</t>
  </si>
  <si>
    <t>L0339</t>
  </si>
  <si>
    <t>Customer_339</t>
  </si>
  <si>
    <t>L0340</t>
  </si>
  <si>
    <t>Customer_340</t>
  </si>
  <si>
    <t>L0341</t>
  </si>
  <si>
    <t>Customer_341</t>
  </si>
  <si>
    <t>2025-07-15</t>
  </si>
  <si>
    <t>L0342</t>
  </si>
  <si>
    <t>Customer_342</t>
  </si>
  <si>
    <t>L0343</t>
  </si>
  <si>
    <t>Customer_343</t>
  </si>
  <si>
    <t>L0344</t>
  </si>
  <si>
    <t>Customer_344</t>
  </si>
  <si>
    <t>2025-06-19</t>
  </si>
  <si>
    <t>L0345</t>
  </si>
  <si>
    <t>Customer_345</t>
  </si>
  <si>
    <t>2026-04-29</t>
  </si>
  <si>
    <t>L0346</t>
  </si>
  <si>
    <t>Customer_346</t>
  </si>
  <si>
    <t>L0347</t>
  </si>
  <si>
    <t>Customer_347</t>
  </si>
  <si>
    <t>L0348</t>
  </si>
  <si>
    <t>Customer_348</t>
  </si>
  <si>
    <t>2026-04-05</t>
  </si>
  <si>
    <t>L0349</t>
  </si>
  <si>
    <t>Customer_349</t>
  </si>
  <si>
    <t>L0350</t>
  </si>
  <si>
    <t>Customer_350</t>
  </si>
  <si>
    <t>2025-07-04</t>
  </si>
  <si>
    <t>L0351</t>
  </si>
  <si>
    <t>Customer_351</t>
  </si>
  <si>
    <t>L0352</t>
  </si>
  <si>
    <t>Customer_352</t>
  </si>
  <si>
    <t>2026-04-25</t>
  </si>
  <si>
    <t>L0353</t>
  </si>
  <si>
    <t>Customer_353</t>
  </si>
  <si>
    <t>2025-02-07</t>
  </si>
  <si>
    <t>L0354</t>
  </si>
  <si>
    <t>Customer_354</t>
  </si>
  <si>
    <t>2025-07-17</t>
  </si>
  <si>
    <t>L0355</t>
  </si>
  <si>
    <t>Customer_355</t>
  </si>
  <si>
    <t>2025-03-18</t>
  </si>
  <si>
    <t>L0356</t>
  </si>
  <si>
    <t>Customer_356</t>
  </si>
  <si>
    <t>L0357</t>
  </si>
  <si>
    <t>Customer_357</t>
  </si>
  <si>
    <t>2025-12-21</t>
  </si>
  <si>
    <t>L0358</t>
  </si>
  <si>
    <t>Customer_358</t>
  </si>
  <si>
    <t>L0359</t>
  </si>
  <si>
    <t>Customer_359</t>
  </si>
  <si>
    <t>L0360</t>
  </si>
  <si>
    <t>Customer_360</t>
  </si>
  <si>
    <t>L0361</t>
  </si>
  <si>
    <t>Customer_361</t>
  </si>
  <si>
    <t>2025-09-08</t>
  </si>
  <si>
    <t>L0362</t>
  </si>
  <si>
    <t>Customer_362</t>
  </si>
  <si>
    <t>L0363</t>
  </si>
  <si>
    <t>Customer_363</t>
  </si>
  <si>
    <t>L0364</t>
  </si>
  <si>
    <t>Customer_364</t>
  </si>
  <si>
    <t>L0365</t>
  </si>
  <si>
    <t>Customer_365</t>
  </si>
  <si>
    <t>L0366</t>
  </si>
  <si>
    <t>Customer_366</t>
  </si>
  <si>
    <t>L0367</t>
  </si>
  <si>
    <t>Customer_367</t>
  </si>
  <si>
    <t>2025-02-03</t>
  </si>
  <si>
    <t>L0368</t>
  </si>
  <si>
    <t>Customer_368</t>
  </si>
  <si>
    <t>L0369</t>
  </si>
  <si>
    <t>Customer_369</t>
  </si>
  <si>
    <t>L0370</t>
  </si>
  <si>
    <t>Customer_370</t>
  </si>
  <si>
    <t>L0371</t>
  </si>
  <si>
    <t>Customer_371</t>
  </si>
  <si>
    <t>2025-03-23</t>
  </si>
  <si>
    <t>L0372</t>
  </si>
  <si>
    <t>Customer_372</t>
  </si>
  <si>
    <t>2026-04-28</t>
  </si>
  <si>
    <t>L0373</t>
  </si>
  <si>
    <t>Customer_373</t>
  </si>
  <si>
    <t>L0374</t>
  </si>
  <si>
    <t>Customer_374</t>
  </si>
  <si>
    <t>L0375</t>
  </si>
  <si>
    <t>Customer_375</t>
  </si>
  <si>
    <t>2026-03-28</t>
  </si>
  <si>
    <t>L0376</t>
  </si>
  <si>
    <t>Customer_376</t>
  </si>
  <si>
    <t>L0377</t>
  </si>
  <si>
    <t>Customer_377</t>
  </si>
  <si>
    <t>L0378</t>
  </si>
  <si>
    <t>Customer_378</t>
  </si>
  <si>
    <t>L0379</t>
  </si>
  <si>
    <t>Customer_379</t>
  </si>
  <si>
    <t>L0380</t>
  </si>
  <si>
    <t>Customer_380</t>
  </si>
  <si>
    <t>L0381</t>
  </si>
  <si>
    <t>Customer_381</t>
  </si>
  <si>
    <t>L0382</t>
  </si>
  <si>
    <t>Customer_382</t>
  </si>
  <si>
    <t>L0383</t>
  </si>
  <si>
    <t>Customer_383</t>
  </si>
  <si>
    <t>L0384</t>
  </si>
  <si>
    <t>Customer_384</t>
  </si>
  <si>
    <t>L0385</t>
  </si>
  <si>
    <t>Customer_385</t>
  </si>
  <si>
    <t>2025-01-05</t>
  </si>
  <si>
    <t>L0386</t>
  </si>
  <si>
    <t>Customer_386</t>
  </si>
  <si>
    <t>L0387</t>
  </si>
  <si>
    <t>Customer_387</t>
  </si>
  <si>
    <t>L0388</t>
  </si>
  <si>
    <t>Customer_388</t>
  </si>
  <si>
    <t>2025-03-26</t>
  </si>
  <si>
    <t>L0389</t>
  </si>
  <si>
    <t>Customer_389</t>
  </si>
  <si>
    <t>L0390</t>
  </si>
  <si>
    <t>Customer_390</t>
  </si>
  <si>
    <t>2025-12-11</t>
  </si>
  <si>
    <t>L0391</t>
  </si>
  <si>
    <t>Customer_391</t>
  </si>
  <si>
    <t>2025-06-15</t>
  </si>
  <si>
    <t>L0392</t>
  </si>
  <si>
    <t>Customer_392</t>
  </si>
  <si>
    <t>2026-01-05</t>
  </si>
  <si>
    <t>L0393</t>
  </si>
  <si>
    <t>Customer_393</t>
  </si>
  <si>
    <t>2026-02-03</t>
  </si>
  <si>
    <t>L0394</t>
  </si>
  <si>
    <t>Customer_394</t>
  </si>
  <si>
    <t>L0395</t>
  </si>
  <si>
    <t>Customer_395</t>
  </si>
  <si>
    <t>2026-03-18</t>
  </si>
  <si>
    <t>L0396</t>
  </si>
  <si>
    <t>Customer_396</t>
  </si>
  <si>
    <t>L0397</t>
  </si>
  <si>
    <t>Customer_397</t>
  </si>
  <si>
    <t>L0398</t>
  </si>
  <si>
    <t>Customer_398</t>
  </si>
  <si>
    <t>L0399</t>
  </si>
  <si>
    <t>Customer_399</t>
  </si>
  <si>
    <t>L0400</t>
  </si>
  <si>
    <t>Customer_400</t>
  </si>
  <si>
    <t>L0401</t>
  </si>
  <si>
    <t>Customer_401</t>
  </si>
  <si>
    <t>2025-04-21</t>
  </si>
  <si>
    <t>L0402</t>
  </si>
  <si>
    <t>Customer_402</t>
  </si>
  <si>
    <t>2026-02-18</t>
  </si>
  <si>
    <t>L0403</t>
  </si>
  <si>
    <t>Customer_403</t>
  </si>
  <si>
    <t>L0404</t>
  </si>
  <si>
    <t>Customer_404</t>
  </si>
  <si>
    <t>2026-02-13</t>
  </si>
  <si>
    <t>L0405</t>
  </si>
  <si>
    <t>Customer_405</t>
  </si>
  <si>
    <t>2025-07-12</t>
  </si>
  <si>
    <t>L0406</t>
  </si>
  <si>
    <t>Customer_406</t>
  </si>
  <si>
    <t>2025-04-03</t>
  </si>
  <si>
    <t>L0407</t>
  </si>
  <si>
    <t>Customer_407</t>
  </si>
  <si>
    <t>L0408</t>
  </si>
  <si>
    <t>Customer_408</t>
  </si>
  <si>
    <t>2025-10-20</t>
  </si>
  <si>
    <t>L0409</t>
  </si>
  <si>
    <t>Customer_409</t>
  </si>
  <si>
    <t>2025-08-29</t>
  </si>
  <si>
    <t>L0410</t>
  </si>
  <si>
    <t>Customer_410</t>
  </si>
  <si>
    <t>L0411</t>
  </si>
  <si>
    <t>Customer_411</t>
  </si>
  <si>
    <t>L0412</t>
  </si>
  <si>
    <t>Customer_412</t>
  </si>
  <si>
    <t>2026-01-29</t>
  </si>
  <si>
    <t>L0413</t>
  </si>
  <si>
    <t>Customer_413</t>
  </si>
  <si>
    <t>2026-03-04</t>
  </si>
  <si>
    <t>L0414</t>
  </si>
  <si>
    <t>Customer_414</t>
  </si>
  <si>
    <t>2026-01-10</t>
  </si>
  <si>
    <t>L0415</t>
  </si>
  <si>
    <t>Customer_415</t>
  </si>
  <si>
    <t>L0416</t>
  </si>
  <si>
    <t>Customer_416</t>
  </si>
  <si>
    <t>2025-02-05</t>
  </si>
  <si>
    <t>L0417</t>
  </si>
  <si>
    <t>Customer_417</t>
  </si>
  <si>
    <t>L0418</t>
  </si>
  <si>
    <t>Customer_418</t>
  </si>
  <si>
    <t>2026-02-09</t>
  </si>
  <si>
    <t>L0419</t>
  </si>
  <si>
    <t>Customer_419</t>
  </si>
  <si>
    <t>L0420</t>
  </si>
  <si>
    <t>Customer_420</t>
  </si>
  <si>
    <t>L0421</t>
  </si>
  <si>
    <t>Customer_421</t>
  </si>
  <si>
    <t>2025-10-08</t>
  </si>
  <si>
    <t>L0422</t>
  </si>
  <si>
    <t>Customer_422</t>
  </si>
  <si>
    <t>L0423</t>
  </si>
  <si>
    <t>Customer_423</t>
  </si>
  <si>
    <t>2026-02-02</t>
  </si>
  <si>
    <t>L0424</t>
  </si>
  <si>
    <t>Customer_424</t>
  </si>
  <si>
    <t>L0425</t>
  </si>
  <si>
    <t>Customer_425</t>
  </si>
  <si>
    <t>2025-06-26</t>
  </si>
  <si>
    <t>L0426</t>
  </si>
  <si>
    <t>Customer_426</t>
  </si>
  <si>
    <t>2025-07-29</t>
  </si>
  <si>
    <t>L0427</t>
  </si>
  <si>
    <t>Customer_427</t>
  </si>
  <si>
    <t>L0428</t>
  </si>
  <si>
    <t>Customer_428</t>
  </si>
  <si>
    <t>L0429</t>
  </si>
  <si>
    <t>Customer_429</t>
  </si>
  <si>
    <t>2026-03-09</t>
  </si>
  <si>
    <t>L0430</t>
  </si>
  <si>
    <t>Customer_430</t>
  </si>
  <si>
    <t>L0431</t>
  </si>
  <si>
    <t>Customer_431</t>
  </si>
  <si>
    <t>2025-11-23</t>
  </si>
  <si>
    <t>L0432</t>
  </si>
  <si>
    <t>Customer_432</t>
  </si>
  <si>
    <t>L0433</t>
  </si>
  <si>
    <t>Customer_433</t>
  </si>
  <si>
    <t>2025-02-15</t>
  </si>
  <si>
    <t>L0434</t>
  </si>
  <si>
    <t>Customer_434</t>
  </si>
  <si>
    <t>L0435</t>
  </si>
  <si>
    <t>Customer_435</t>
  </si>
  <si>
    <t>L0436</t>
  </si>
  <si>
    <t>Customer_436</t>
  </si>
  <si>
    <t>L0437</t>
  </si>
  <si>
    <t>Customer_437</t>
  </si>
  <si>
    <t>L0438</t>
  </si>
  <si>
    <t>Customer_438</t>
  </si>
  <si>
    <t>L0439</t>
  </si>
  <si>
    <t>Customer_439</t>
  </si>
  <si>
    <t>L0440</t>
  </si>
  <si>
    <t>Customer_440</t>
  </si>
  <si>
    <t>2025-06-02</t>
  </si>
  <si>
    <t>L0441</t>
  </si>
  <si>
    <t>Customer_441</t>
  </si>
  <si>
    <t>L0442</t>
  </si>
  <si>
    <t>Customer_442</t>
  </si>
  <si>
    <t>L0443</t>
  </si>
  <si>
    <t>Customer_443</t>
  </si>
  <si>
    <t>2025-04-26</t>
  </si>
  <si>
    <t>L0444</t>
  </si>
  <si>
    <t>Customer_444</t>
  </si>
  <si>
    <t>2025-05-04</t>
  </si>
  <si>
    <t>L0445</t>
  </si>
  <si>
    <t>Customer_445</t>
  </si>
  <si>
    <t>L0446</t>
  </si>
  <si>
    <t>Customer_446</t>
  </si>
  <si>
    <t>2025-06-23</t>
  </si>
  <si>
    <t>L0447</t>
  </si>
  <si>
    <t>Customer_447</t>
  </si>
  <si>
    <t>L0448</t>
  </si>
  <si>
    <t>Customer_448</t>
  </si>
  <si>
    <t>L0449</t>
  </si>
  <si>
    <t>Customer_449</t>
  </si>
  <si>
    <t>2026-01-09</t>
  </si>
  <si>
    <t>L0450</t>
  </si>
  <si>
    <t>Customer_450</t>
  </si>
  <si>
    <t>L0451</t>
  </si>
  <si>
    <t>Customer_451</t>
  </si>
  <si>
    <t>2025-08-22</t>
  </si>
  <si>
    <t>L0452</t>
  </si>
  <si>
    <t>Customer_452</t>
  </si>
  <si>
    <t>L0453</t>
  </si>
  <si>
    <t>Customer_453</t>
  </si>
  <si>
    <t>L0454</t>
  </si>
  <si>
    <t>Customer_454</t>
  </si>
  <si>
    <t>L0455</t>
  </si>
  <si>
    <t>Customer_455</t>
  </si>
  <si>
    <t>L0456</t>
  </si>
  <si>
    <t>Customer_456</t>
  </si>
  <si>
    <t>L0457</t>
  </si>
  <si>
    <t>Customer_457</t>
  </si>
  <si>
    <t>2025-07-01</t>
  </si>
  <si>
    <t>L0458</t>
  </si>
  <si>
    <t>Customer_458</t>
  </si>
  <si>
    <t>L0459</t>
  </si>
  <si>
    <t>Customer_459</t>
  </si>
  <si>
    <t>L0460</t>
  </si>
  <si>
    <t>Customer_460</t>
  </si>
  <si>
    <t>2025-08-25</t>
  </si>
  <si>
    <t>L0461</t>
  </si>
  <si>
    <t>Customer_461</t>
  </si>
  <si>
    <t>2025-05-02</t>
  </si>
  <si>
    <t>L0462</t>
  </si>
  <si>
    <t>Customer_462</t>
  </si>
  <si>
    <t>L0463</t>
  </si>
  <si>
    <t>Customer_463</t>
  </si>
  <si>
    <t>L0464</t>
  </si>
  <si>
    <t>Customer_464</t>
  </si>
  <si>
    <t>2026-01-18</t>
  </si>
  <si>
    <t>L0465</t>
  </si>
  <si>
    <t>Customer_465</t>
  </si>
  <si>
    <t>L0466</t>
  </si>
  <si>
    <t>Customer_466</t>
  </si>
  <si>
    <t>2025-08-08</t>
  </si>
  <si>
    <t>L0467</t>
  </si>
  <si>
    <t>Customer_467</t>
  </si>
  <si>
    <t>L0468</t>
  </si>
  <si>
    <t>Customer_468</t>
  </si>
  <si>
    <t>L0469</t>
  </si>
  <si>
    <t>Customer_469</t>
  </si>
  <si>
    <t>2026-03-02</t>
  </si>
  <si>
    <t>L0470</t>
  </si>
  <si>
    <t>Customer_470</t>
  </si>
  <si>
    <t>L0471</t>
  </si>
  <si>
    <t>Customer_471</t>
  </si>
  <si>
    <t>L0472</t>
  </si>
  <si>
    <t>Customer_472</t>
  </si>
  <si>
    <t>L0473</t>
  </si>
  <si>
    <t>Customer_473</t>
  </si>
  <si>
    <t>L0474</t>
  </si>
  <si>
    <t>Customer_474</t>
  </si>
  <si>
    <t>L0475</t>
  </si>
  <si>
    <t>Customer_475</t>
  </si>
  <si>
    <t>2026-05-16</t>
  </si>
  <si>
    <t>L0476</t>
  </si>
  <si>
    <t>Customer_476</t>
  </si>
  <si>
    <t>2026-03-20</t>
  </si>
  <si>
    <t>L0477</t>
  </si>
  <si>
    <t>Customer_477</t>
  </si>
  <si>
    <t>L0478</t>
  </si>
  <si>
    <t>Customer_478</t>
  </si>
  <si>
    <t>L0479</t>
  </si>
  <si>
    <t>Customer_479</t>
  </si>
  <si>
    <t>2025-09-13</t>
  </si>
  <si>
    <t>L0480</t>
  </si>
  <si>
    <t>Customer_480</t>
  </si>
  <si>
    <t>L0481</t>
  </si>
  <si>
    <t>Customer_481</t>
  </si>
  <si>
    <t>2025-11-27</t>
  </si>
  <si>
    <t>L0482</t>
  </si>
  <si>
    <t>Customer_482</t>
  </si>
  <si>
    <t>2026-04-08</t>
  </si>
  <si>
    <t>L0483</t>
  </si>
  <si>
    <t>Customer_483</t>
  </si>
  <si>
    <t>L0484</t>
  </si>
  <si>
    <t>Customer_484</t>
  </si>
  <si>
    <t>2025-02-10</t>
  </si>
  <si>
    <t>L0485</t>
  </si>
  <si>
    <t>Customer_485</t>
  </si>
  <si>
    <t>L0486</t>
  </si>
  <si>
    <t>Customer_486</t>
  </si>
  <si>
    <t>2025-11-02</t>
  </si>
  <si>
    <t>L0487</t>
  </si>
  <si>
    <t>Customer_487</t>
  </si>
  <si>
    <t>L0488</t>
  </si>
  <si>
    <t>Customer_488</t>
  </si>
  <si>
    <t>L0489</t>
  </si>
  <si>
    <t>Customer_489</t>
  </si>
  <si>
    <t>L0490</t>
  </si>
  <si>
    <t>Customer_490</t>
  </si>
  <si>
    <t>L0491</t>
  </si>
  <si>
    <t>Customer_491</t>
  </si>
  <si>
    <t>L0492</t>
  </si>
  <si>
    <t>Customer_492</t>
  </si>
  <si>
    <t>L0493</t>
  </si>
  <si>
    <t>Customer_493</t>
  </si>
  <si>
    <t>L0494</t>
  </si>
  <si>
    <t>Customer_494</t>
  </si>
  <si>
    <t>2025-07-14</t>
  </si>
  <si>
    <t>L0495</t>
  </si>
  <si>
    <t>Customer_495</t>
  </si>
  <si>
    <t>2025-05-07</t>
  </si>
  <si>
    <t>L0496</t>
  </si>
  <si>
    <t>Customer_496</t>
  </si>
  <si>
    <t>L0497</t>
  </si>
  <si>
    <t>Customer_497</t>
  </si>
  <si>
    <t>L0498</t>
  </si>
  <si>
    <t>Customer_498</t>
  </si>
  <si>
    <t>2025-05-05</t>
  </si>
  <si>
    <t>L0499</t>
  </si>
  <si>
    <t>Customer_499</t>
  </si>
  <si>
    <t>L0500</t>
  </si>
  <si>
    <t>Customer_500</t>
  </si>
  <si>
    <t>L0501</t>
  </si>
  <si>
    <t>Customer_501</t>
  </si>
  <si>
    <t>L0502</t>
  </si>
  <si>
    <t>Customer_502</t>
  </si>
  <si>
    <t>2025-07-27</t>
  </si>
  <si>
    <t>L0503</t>
  </si>
  <si>
    <t>Customer_503</t>
  </si>
  <si>
    <t>L0504</t>
  </si>
  <si>
    <t>Customer_504</t>
  </si>
  <si>
    <t>L0505</t>
  </si>
  <si>
    <t>Customer_505</t>
  </si>
  <si>
    <t>L0506</t>
  </si>
  <si>
    <t>Customer_506</t>
  </si>
  <si>
    <t>L0507</t>
  </si>
  <si>
    <t>Customer_507</t>
  </si>
  <si>
    <t>L0508</t>
  </si>
  <si>
    <t>Customer_508</t>
  </si>
  <si>
    <t>2025-06-12</t>
  </si>
  <si>
    <t>L0509</t>
  </si>
  <si>
    <t>Customer_509</t>
  </si>
  <si>
    <t>2026-02-11</t>
  </si>
  <si>
    <t>L0510</t>
  </si>
  <si>
    <t>Customer_510</t>
  </si>
  <si>
    <t>L0511</t>
  </si>
  <si>
    <t>Customer_511</t>
  </si>
  <si>
    <t>L0512</t>
  </si>
  <si>
    <t>Customer_512</t>
  </si>
  <si>
    <t>L0513</t>
  </si>
  <si>
    <t>Customer_513</t>
  </si>
  <si>
    <t>2026-01-19</t>
  </si>
  <si>
    <t>L0514</t>
  </si>
  <si>
    <t>Customer_514</t>
  </si>
  <si>
    <t>2025-02-12</t>
  </si>
  <si>
    <t>L0515</t>
  </si>
  <si>
    <t>Customer_515</t>
  </si>
  <si>
    <t>L0516</t>
  </si>
  <si>
    <t>Customer_516</t>
  </si>
  <si>
    <t>L0517</t>
  </si>
  <si>
    <t>Customer_517</t>
  </si>
  <si>
    <t>L0518</t>
  </si>
  <si>
    <t>Customer_518</t>
  </si>
  <si>
    <t>L0519</t>
  </si>
  <si>
    <t>Customer_519</t>
  </si>
  <si>
    <t>L0520</t>
  </si>
  <si>
    <t>Customer_520</t>
  </si>
  <si>
    <t>L0521</t>
  </si>
  <si>
    <t>Customer_521</t>
  </si>
  <si>
    <t>L0522</t>
  </si>
  <si>
    <t>Customer_522</t>
  </si>
  <si>
    <t>L0523</t>
  </si>
  <si>
    <t>Customer_523</t>
  </si>
  <si>
    <t>2025-09-20</t>
  </si>
  <si>
    <t>L0524</t>
  </si>
  <si>
    <t>Customer_524</t>
  </si>
  <si>
    <t>L0525</t>
  </si>
  <si>
    <t>Customer_525</t>
  </si>
  <si>
    <t>L0526</t>
  </si>
  <si>
    <t>Customer_526</t>
  </si>
  <si>
    <t>L0527</t>
  </si>
  <si>
    <t>Customer_527</t>
  </si>
  <si>
    <t>L0528</t>
  </si>
  <si>
    <t>Customer_528</t>
  </si>
  <si>
    <t>2026-04-07</t>
  </si>
  <si>
    <t>L0529</t>
  </si>
  <si>
    <t>Customer_529</t>
  </si>
  <si>
    <t>2025-10-29</t>
  </si>
  <si>
    <t>L0530</t>
  </si>
  <si>
    <t>Customer_530</t>
  </si>
  <si>
    <t>2025-02-02</t>
  </si>
  <si>
    <t>L0531</t>
  </si>
  <si>
    <t>Customer_531</t>
  </si>
  <si>
    <t>2026-03-06</t>
  </si>
  <si>
    <t>L0532</t>
  </si>
  <si>
    <t>Customer_532</t>
  </si>
  <si>
    <t>L0533</t>
  </si>
  <si>
    <t>Customer_533</t>
  </si>
  <si>
    <t>2026-02-01</t>
  </si>
  <si>
    <t>L0534</t>
  </si>
  <si>
    <t>Customer_534</t>
  </si>
  <si>
    <t>2025-02-18</t>
  </si>
  <si>
    <t>L0535</t>
  </si>
  <si>
    <t>Customer_535</t>
  </si>
  <si>
    <t>2026-01-14</t>
  </si>
  <si>
    <t>L0536</t>
  </si>
  <si>
    <t>Customer_536</t>
  </si>
  <si>
    <t>L0537</t>
  </si>
  <si>
    <t>Customer_537</t>
  </si>
  <si>
    <t>L0538</t>
  </si>
  <si>
    <t>Customer_538</t>
  </si>
  <si>
    <t>L0539</t>
  </si>
  <si>
    <t>Customer_539</t>
  </si>
  <si>
    <t>L0540</t>
  </si>
  <si>
    <t>Customer_540</t>
  </si>
  <si>
    <t>L0541</t>
  </si>
  <si>
    <t>Customer_541</t>
  </si>
  <si>
    <t>L0542</t>
  </si>
  <si>
    <t>Customer_542</t>
  </si>
  <si>
    <t>L0543</t>
  </si>
  <si>
    <t>Customer_543</t>
  </si>
  <si>
    <t>2026-05-09</t>
  </si>
  <si>
    <t>L0544</t>
  </si>
  <si>
    <t>Customer_544</t>
  </si>
  <si>
    <t>L0545</t>
  </si>
  <si>
    <t>Customer_545</t>
  </si>
  <si>
    <t>2025-08-11</t>
  </si>
  <si>
    <t>L0546</t>
  </si>
  <si>
    <t>Customer_546</t>
  </si>
  <si>
    <t>L0547</t>
  </si>
  <si>
    <t>Customer_547</t>
  </si>
  <si>
    <t>2025-05-23</t>
  </si>
  <si>
    <t>L0548</t>
  </si>
  <si>
    <t>Customer_548</t>
  </si>
  <si>
    <t>L0549</t>
  </si>
  <si>
    <t>Customer_549</t>
  </si>
  <si>
    <t>L0550</t>
  </si>
  <si>
    <t>Customer_550</t>
  </si>
  <si>
    <t>2025-01-25</t>
  </si>
  <si>
    <t>L0551</t>
  </si>
  <si>
    <t>Customer_551</t>
  </si>
  <si>
    <t>2025-02-26</t>
  </si>
  <si>
    <t>L0552</t>
  </si>
  <si>
    <t>Customer_552</t>
  </si>
  <si>
    <t>L0553</t>
  </si>
  <si>
    <t>Customer_553</t>
  </si>
  <si>
    <t>L0554</t>
  </si>
  <si>
    <t>Customer_554</t>
  </si>
  <si>
    <t>2025-01-02</t>
  </si>
  <si>
    <t>L0555</t>
  </si>
  <si>
    <t>Customer_555</t>
  </si>
  <si>
    <t>L0556</t>
  </si>
  <si>
    <t>Customer_556</t>
  </si>
  <si>
    <t>L0557</t>
  </si>
  <si>
    <t>Customer_557</t>
  </si>
  <si>
    <t>L0558</t>
  </si>
  <si>
    <t>Customer_558</t>
  </si>
  <si>
    <t>L0559</t>
  </si>
  <si>
    <t>Customer_559</t>
  </si>
  <si>
    <t>L0560</t>
  </si>
  <si>
    <t>Customer_560</t>
  </si>
  <si>
    <t>L0561</t>
  </si>
  <si>
    <t>Customer_561</t>
  </si>
  <si>
    <t>L0562</t>
  </si>
  <si>
    <t>Customer_562</t>
  </si>
  <si>
    <t>L0563</t>
  </si>
  <si>
    <t>Customer_563</t>
  </si>
  <si>
    <t>2026-04-27</t>
  </si>
  <si>
    <t>L0564</t>
  </si>
  <si>
    <t>Customer_564</t>
  </si>
  <si>
    <t>L0565</t>
  </si>
  <si>
    <t>Customer_565</t>
  </si>
  <si>
    <t>L0566</t>
  </si>
  <si>
    <t>Customer_566</t>
  </si>
  <si>
    <t>L0567</t>
  </si>
  <si>
    <t>Customer_567</t>
  </si>
  <si>
    <t>L0568</t>
  </si>
  <si>
    <t>Customer_568</t>
  </si>
  <si>
    <t>L0569</t>
  </si>
  <si>
    <t>Customer_569</t>
  </si>
  <si>
    <t>L0570</t>
  </si>
  <si>
    <t>Customer_570</t>
  </si>
  <si>
    <t>L0571</t>
  </si>
  <si>
    <t>Customer_571</t>
  </si>
  <si>
    <t>2026-03-13</t>
  </si>
  <si>
    <t>L0572</t>
  </si>
  <si>
    <t>Customer_572</t>
  </si>
  <si>
    <t>2026-02-05</t>
  </si>
  <si>
    <t>L0573</t>
  </si>
  <si>
    <t>Customer_573</t>
  </si>
  <si>
    <t>2025-05-20</t>
  </si>
  <si>
    <t>L0574</t>
  </si>
  <si>
    <t>Customer_574</t>
  </si>
  <si>
    <t>L0575</t>
  </si>
  <si>
    <t>Customer_575</t>
  </si>
  <si>
    <t>L0576</t>
  </si>
  <si>
    <t>Customer_576</t>
  </si>
  <si>
    <t>L0577</t>
  </si>
  <si>
    <t>Customer_577</t>
  </si>
  <si>
    <t>L0578</t>
  </si>
  <si>
    <t>Customer_578</t>
  </si>
  <si>
    <t>L0579</t>
  </si>
  <si>
    <t>Customer_579</t>
  </si>
  <si>
    <t>L0580</t>
  </si>
  <si>
    <t>Customer_580</t>
  </si>
  <si>
    <t>L0581</t>
  </si>
  <si>
    <t>Customer_581</t>
  </si>
  <si>
    <t>L0582</t>
  </si>
  <si>
    <t>Customer_582</t>
  </si>
  <si>
    <t>2025-01-13</t>
  </si>
  <si>
    <t>L0583</t>
  </si>
  <si>
    <t>Customer_583</t>
  </si>
  <si>
    <t>2026-05-10</t>
  </si>
  <si>
    <t>L0584</t>
  </si>
  <si>
    <t>Customer_584</t>
  </si>
  <si>
    <t>L0585</t>
  </si>
  <si>
    <t>Customer_585</t>
  </si>
  <si>
    <t>L0586</t>
  </si>
  <si>
    <t>Customer_586</t>
  </si>
  <si>
    <t>2026-02-10</t>
  </si>
  <si>
    <t>L0587</t>
  </si>
  <si>
    <t>Customer_587</t>
  </si>
  <si>
    <t>L0588</t>
  </si>
  <si>
    <t>Customer_588</t>
  </si>
  <si>
    <t>L0589</t>
  </si>
  <si>
    <t>Customer_589</t>
  </si>
  <si>
    <t>2025-01-07</t>
  </si>
  <si>
    <t>L0590</t>
  </si>
  <si>
    <t>Customer_590</t>
  </si>
  <si>
    <t>L0591</t>
  </si>
  <si>
    <t>Customer_591</t>
  </si>
  <si>
    <t>L0592</t>
  </si>
  <si>
    <t>Customer_592</t>
  </si>
  <si>
    <t>2025-02-27</t>
  </si>
  <si>
    <t>L0593</t>
  </si>
  <si>
    <t>Customer_593</t>
  </si>
  <si>
    <t>L0594</t>
  </si>
  <si>
    <t>Customer_594</t>
  </si>
  <si>
    <t>L0595</t>
  </si>
  <si>
    <t>Customer_595</t>
  </si>
  <si>
    <t>L0596</t>
  </si>
  <si>
    <t>Customer_596</t>
  </si>
  <si>
    <t>2025-01-12</t>
  </si>
  <si>
    <t>L0597</t>
  </si>
  <si>
    <t>Customer_597</t>
  </si>
  <si>
    <t>L0598</t>
  </si>
  <si>
    <t>Customer_598</t>
  </si>
  <si>
    <t>L0599</t>
  </si>
  <si>
    <t>Customer_599</t>
  </si>
  <si>
    <t>2026-02-24</t>
  </si>
  <si>
    <t>L0600</t>
  </si>
  <si>
    <t>Customer_600</t>
  </si>
  <si>
    <t>2025-07-10</t>
  </si>
  <si>
    <t>L0601</t>
  </si>
  <si>
    <t>Customer_601</t>
  </si>
  <si>
    <t>L0602</t>
  </si>
  <si>
    <t>Customer_602</t>
  </si>
  <si>
    <t>L0603</t>
  </si>
  <si>
    <t>Customer_603</t>
  </si>
  <si>
    <t>L0604</t>
  </si>
  <si>
    <t>Customer_604</t>
  </si>
  <si>
    <t>2025-12-13</t>
  </si>
  <si>
    <t>L0605</t>
  </si>
  <si>
    <t>Customer_605</t>
  </si>
  <si>
    <t>L0606</t>
  </si>
  <si>
    <t>Customer_606</t>
  </si>
  <si>
    <t>L0607</t>
  </si>
  <si>
    <t>Customer_607</t>
  </si>
  <si>
    <t>2025-04-07</t>
  </si>
  <si>
    <t>L0608</t>
  </si>
  <si>
    <t>Customer_608</t>
  </si>
  <si>
    <t>L0609</t>
  </si>
  <si>
    <t>Customer_609</t>
  </si>
  <si>
    <t>2026-01-04</t>
  </si>
  <si>
    <t>L0610</t>
  </si>
  <si>
    <t>Customer_610</t>
  </si>
  <si>
    <t>L0611</t>
  </si>
  <si>
    <t>Customer_611</t>
  </si>
  <si>
    <t>L0612</t>
  </si>
  <si>
    <t>Customer_612</t>
  </si>
  <si>
    <t>2026-02-17</t>
  </si>
  <si>
    <t>L0613</t>
  </si>
  <si>
    <t>Customer_613</t>
  </si>
  <si>
    <t>L0614</t>
  </si>
  <si>
    <t>Customer_614</t>
  </si>
  <si>
    <t>2025-01-01</t>
  </si>
  <si>
    <t>L0615</t>
  </si>
  <si>
    <t>Customer_615</t>
  </si>
  <si>
    <t>2025-12-28</t>
  </si>
  <si>
    <t>L0616</t>
  </si>
  <si>
    <t>Customer_616</t>
  </si>
  <si>
    <t>L0617</t>
  </si>
  <si>
    <t>Customer_617</t>
  </si>
  <si>
    <t>L0618</t>
  </si>
  <si>
    <t>Customer_618</t>
  </si>
  <si>
    <t>L0619</t>
  </si>
  <si>
    <t>Customer_619</t>
  </si>
  <si>
    <t>L0620</t>
  </si>
  <si>
    <t>Customer_620</t>
  </si>
  <si>
    <t>2025-11-11</t>
  </si>
  <si>
    <t>L0621</t>
  </si>
  <si>
    <t>Customer_621</t>
  </si>
  <si>
    <t>L0622</t>
  </si>
  <si>
    <t>Customer_622</t>
  </si>
  <si>
    <t>L0623</t>
  </si>
  <si>
    <t>Customer_623</t>
  </si>
  <si>
    <t>L0624</t>
  </si>
  <si>
    <t>Customer_624</t>
  </si>
  <si>
    <t>L0625</t>
  </si>
  <si>
    <t>Customer_625</t>
  </si>
  <si>
    <t>L0626</t>
  </si>
  <si>
    <t>Customer_626</t>
  </si>
  <si>
    <t>2025-08-20</t>
  </si>
  <si>
    <t>L0627</t>
  </si>
  <si>
    <t>Customer_627</t>
  </si>
  <si>
    <t>L0628</t>
  </si>
  <si>
    <t>Customer_628</t>
  </si>
  <si>
    <t>2025-04-01</t>
  </si>
  <si>
    <t>L0629</t>
  </si>
  <si>
    <t>Customer_629</t>
  </si>
  <si>
    <t>2025-05-12</t>
  </si>
  <si>
    <t>L0630</t>
  </si>
  <si>
    <t>Customer_630</t>
  </si>
  <si>
    <t>L0631</t>
  </si>
  <si>
    <t>Customer_631</t>
  </si>
  <si>
    <t>L0632</t>
  </si>
  <si>
    <t>Customer_632</t>
  </si>
  <si>
    <t>L0633</t>
  </si>
  <si>
    <t>Customer_633</t>
  </si>
  <si>
    <t>2025-10-03</t>
  </si>
  <si>
    <t>L0634</t>
  </si>
  <si>
    <t>Customer_634</t>
  </si>
  <si>
    <t>L0635</t>
  </si>
  <si>
    <t>Customer_635</t>
  </si>
  <si>
    <t>L0636</t>
  </si>
  <si>
    <t>Customer_636</t>
  </si>
  <si>
    <t>L0637</t>
  </si>
  <si>
    <t>Customer_637</t>
  </si>
  <si>
    <t>L0638</t>
  </si>
  <si>
    <t>Customer_638</t>
  </si>
  <si>
    <t>L0639</t>
  </si>
  <si>
    <t>Customer_639</t>
  </si>
  <si>
    <t>2025-05-19</t>
  </si>
  <si>
    <t>L0640</t>
  </si>
  <si>
    <t>Customer_640</t>
  </si>
  <si>
    <t>L0641</t>
  </si>
  <si>
    <t>Customer_641</t>
  </si>
  <si>
    <t>2025-04-16</t>
  </si>
  <si>
    <t>L0642</t>
  </si>
  <si>
    <t>Customer_642</t>
  </si>
  <si>
    <t>L0643</t>
  </si>
  <si>
    <t>Customer_643</t>
  </si>
  <si>
    <t>L0644</t>
  </si>
  <si>
    <t>Customer_644</t>
  </si>
  <si>
    <t>L0645</t>
  </si>
  <si>
    <t>Customer_645</t>
  </si>
  <si>
    <t>L0646</t>
  </si>
  <si>
    <t>Customer_646</t>
  </si>
  <si>
    <t>L0647</t>
  </si>
  <si>
    <t>Customer_647</t>
  </si>
  <si>
    <t>2025-02-24</t>
  </si>
  <si>
    <t>L0648</t>
  </si>
  <si>
    <t>Customer_648</t>
  </si>
  <si>
    <t>L0649</t>
  </si>
  <si>
    <t>Customer_649</t>
  </si>
  <si>
    <t>L0650</t>
  </si>
  <si>
    <t>Customer_650</t>
  </si>
  <si>
    <t>L0651</t>
  </si>
  <si>
    <t>Customer_651</t>
  </si>
  <si>
    <t>L0652</t>
  </si>
  <si>
    <t>Customer_652</t>
  </si>
  <si>
    <t>L0653</t>
  </si>
  <si>
    <t>Customer_653</t>
  </si>
  <si>
    <t>L0654</t>
  </si>
  <si>
    <t>Customer_654</t>
  </si>
  <si>
    <t>L0655</t>
  </si>
  <si>
    <t>Customer_655</t>
  </si>
  <si>
    <t>L0656</t>
  </si>
  <si>
    <t>Customer_656</t>
  </si>
  <si>
    <t>L0657</t>
  </si>
  <si>
    <t>Customer_657</t>
  </si>
  <si>
    <t>L0658</t>
  </si>
  <si>
    <t>Customer_658</t>
  </si>
  <si>
    <t>L0659</t>
  </si>
  <si>
    <t>Customer_659</t>
  </si>
  <si>
    <t>L0660</t>
  </si>
  <si>
    <t>Customer_660</t>
  </si>
  <si>
    <t>L0661</t>
  </si>
  <si>
    <t>Customer_661</t>
  </si>
  <si>
    <t>L0662</t>
  </si>
  <si>
    <t>Customer_662</t>
  </si>
  <si>
    <t>2025-11-21</t>
  </si>
  <si>
    <t>L0663</t>
  </si>
  <si>
    <t>Customer_663</t>
  </si>
  <si>
    <t>L0664</t>
  </si>
  <si>
    <t>Customer_664</t>
  </si>
  <si>
    <t>L0665</t>
  </si>
  <si>
    <t>Customer_665</t>
  </si>
  <si>
    <t>L0666</t>
  </si>
  <si>
    <t>Customer_666</t>
  </si>
  <si>
    <t>L0667</t>
  </si>
  <si>
    <t>Customer_667</t>
  </si>
  <si>
    <t>2025-07-08</t>
  </si>
  <si>
    <t>L0668</t>
  </si>
  <si>
    <t>Customer_668</t>
  </si>
  <si>
    <t>L0669</t>
  </si>
  <si>
    <t>Customer_669</t>
  </si>
  <si>
    <t>2025-12-29</t>
  </si>
  <si>
    <t>L0670</t>
  </si>
  <si>
    <t>Customer_670</t>
  </si>
  <si>
    <t>L0671</t>
  </si>
  <si>
    <t>Customer_671</t>
  </si>
  <si>
    <t>2025-05-28</t>
  </si>
  <si>
    <t>L0672</t>
  </si>
  <si>
    <t>Customer_672</t>
  </si>
  <si>
    <t>L0673</t>
  </si>
  <si>
    <t>Customer_673</t>
  </si>
  <si>
    <t>2026-05-02</t>
  </si>
  <si>
    <t>L0674</t>
  </si>
  <si>
    <t>Customer_674</t>
  </si>
  <si>
    <t>L0675</t>
  </si>
  <si>
    <t>Customer_675</t>
  </si>
  <si>
    <t>L0676</t>
  </si>
  <si>
    <t>Customer_676</t>
  </si>
  <si>
    <t>2025-07-22</t>
  </si>
  <si>
    <t>L0677</t>
  </si>
  <si>
    <t>Customer_677</t>
  </si>
  <si>
    <t>L0678</t>
  </si>
  <si>
    <t>Customer_678</t>
  </si>
  <si>
    <t>2025-10-07</t>
  </si>
  <si>
    <t>L0679</t>
  </si>
  <si>
    <t>Customer_679</t>
  </si>
  <si>
    <t>2026-04-04</t>
  </si>
  <si>
    <t>L0680</t>
  </si>
  <si>
    <t>Customer_680</t>
  </si>
  <si>
    <t>2026-01-30</t>
  </si>
  <si>
    <t>L0681</t>
  </si>
  <si>
    <t>Customer_681</t>
  </si>
  <si>
    <t>2026-04-10</t>
  </si>
  <si>
    <t>L0682</t>
  </si>
  <si>
    <t>Customer_682</t>
  </si>
  <si>
    <t>L0683</t>
  </si>
  <si>
    <t>Customer_683</t>
  </si>
  <si>
    <t>L0684</t>
  </si>
  <si>
    <t>Customer_684</t>
  </si>
  <si>
    <t>L0685</t>
  </si>
  <si>
    <t>Customer_685</t>
  </si>
  <si>
    <t>2025-07-31</t>
  </si>
  <si>
    <t>L0686</t>
  </si>
  <si>
    <t>Customer_686</t>
  </si>
  <si>
    <t>L0687</t>
  </si>
  <si>
    <t>Customer_687</t>
  </si>
  <si>
    <t>2025-05-18</t>
  </si>
  <si>
    <t>L0688</t>
  </si>
  <si>
    <t>Customer_688</t>
  </si>
  <si>
    <t>L0689</t>
  </si>
  <si>
    <t>Customer_689</t>
  </si>
  <si>
    <t>L0690</t>
  </si>
  <si>
    <t>Customer_690</t>
  </si>
  <si>
    <t>L0691</t>
  </si>
  <si>
    <t>Customer_691</t>
  </si>
  <si>
    <t>2025-04-27</t>
  </si>
  <si>
    <t>L0692</t>
  </si>
  <si>
    <t>Customer_692</t>
  </si>
  <si>
    <t>L0693</t>
  </si>
  <si>
    <t>Customer_693</t>
  </si>
  <si>
    <t>L0694</t>
  </si>
  <si>
    <t>Customer_694</t>
  </si>
  <si>
    <t>2025-05-16</t>
  </si>
  <si>
    <t>L0695</t>
  </si>
  <si>
    <t>Customer_695</t>
  </si>
  <si>
    <t>L0696</t>
  </si>
  <si>
    <t>Customer_696</t>
  </si>
  <si>
    <t>L0697</t>
  </si>
  <si>
    <t>Customer_697</t>
  </si>
  <si>
    <t>2025-01-04</t>
  </si>
  <si>
    <t>L0698</t>
  </si>
  <si>
    <t>Customer_698</t>
  </si>
  <si>
    <t>L0699</t>
  </si>
  <si>
    <t>Customer_699</t>
  </si>
  <si>
    <t>L0700</t>
  </si>
  <si>
    <t>Customer_700</t>
  </si>
  <si>
    <t>L0701</t>
  </si>
  <si>
    <t>Customer_701</t>
  </si>
  <si>
    <t>L0702</t>
  </si>
  <si>
    <t>Customer_702</t>
  </si>
  <si>
    <t>L0703</t>
  </si>
  <si>
    <t>Customer_703</t>
  </si>
  <si>
    <t>L0704</t>
  </si>
  <si>
    <t>Customer_704</t>
  </si>
  <si>
    <t>L0705</t>
  </si>
  <si>
    <t>Customer_705</t>
  </si>
  <si>
    <t>L0706</t>
  </si>
  <si>
    <t>Customer_706</t>
  </si>
  <si>
    <t>L0707</t>
  </si>
  <si>
    <t>Customer_707</t>
  </si>
  <si>
    <t>L0708</t>
  </si>
  <si>
    <t>Customer_708</t>
  </si>
  <si>
    <t>L0709</t>
  </si>
  <si>
    <t>Customer_709</t>
  </si>
  <si>
    <t>2025-09-01</t>
  </si>
  <si>
    <t>L0710</t>
  </si>
  <si>
    <t>Customer_710</t>
  </si>
  <si>
    <t>L0711</t>
  </si>
  <si>
    <t>Customer_711</t>
  </si>
  <si>
    <t>L0712</t>
  </si>
  <si>
    <t>Customer_712</t>
  </si>
  <si>
    <t>L0713</t>
  </si>
  <si>
    <t>Customer_713</t>
  </si>
  <si>
    <t>L0714</t>
  </si>
  <si>
    <t>Customer_714</t>
  </si>
  <si>
    <t>L0715</t>
  </si>
  <si>
    <t>Customer_715</t>
  </si>
  <si>
    <t>L0716</t>
  </si>
  <si>
    <t>Customer_716</t>
  </si>
  <si>
    <t>L0717</t>
  </si>
  <si>
    <t>Customer_717</t>
  </si>
  <si>
    <t>L0718</t>
  </si>
  <si>
    <t>Customer_718</t>
  </si>
  <si>
    <t>L0719</t>
  </si>
  <si>
    <t>Customer_719</t>
  </si>
  <si>
    <t>L0720</t>
  </si>
  <si>
    <t>Customer_720</t>
  </si>
  <si>
    <t>L0721</t>
  </si>
  <si>
    <t>Customer_721</t>
  </si>
  <si>
    <t>L0722</t>
  </si>
  <si>
    <t>Customer_722</t>
  </si>
  <si>
    <t>L0723</t>
  </si>
  <si>
    <t>Customer_723</t>
  </si>
  <si>
    <t>2025-11-17</t>
  </si>
  <si>
    <t>L0724</t>
  </si>
  <si>
    <t>Customer_724</t>
  </si>
  <si>
    <t>L0725</t>
  </si>
  <si>
    <t>Customer_725</t>
  </si>
  <si>
    <t>L0726</t>
  </si>
  <si>
    <t>Customer_726</t>
  </si>
  <si>
    <t>L0727</t>
  </si>
  <si>
    <t>Customer_727</t>
  </si>
  <si>
    <t>L0728</t>
  </si>
  <si>
    <t>Customer_728</t>
  </si>
  <si>
    <t>L0729</t>
  </si>
  <si>
    <t>Customer_729</t>
  </si>
  <si>
    <t>L0730</t>
  </si>
  <si>
    <t>Customer_730</t>
  </si>
  <si>
    <t>L0731</t>
  </si>
  <si>
    <t>Customer_731</t>
  </si>
  <si>
    <t>L0732</t>
  </si>
  <si>
    <t>Customer_732</t>
  </si>
  <si>
    <t>2025-06-01</t>
  </si>
  <si>
    <t>L0733</t>
  </si>
  <si>
    <t>Customer_733</t>
  </si>
  <si>
    <t>L0734</t>
  </si>
  <si>
    <t>Customer_734</t>
  </si>
  <si>
    <t>2025-07-03</t>
  </si>
  <si>
    <t>L0735</t>
  </si>
  <si>
    <t>Customer_735</t>
  </si>
  <si>
    <t>L0736</t>
  </si>
  <si>
    <t>Customer_736</t>
  </si>
  <si>
    <t>L0737</t>
  </si>
  <si>
    <t>Customer_737</t>
  </si>
  <si>
    <t>2025-06-05</t>
  </si>
  <si>
    <t>L0738</t>
  </si>
  <si>
    <t>Customer_738</t>
  </si>
  <si>
    <t>L0739</t>
  </si>
  <si>
    <t>Customer_739</t>
  </si>
  <si>
    <t>L0740</t>
  </si>
  <si>
    <t>Customer_740</t>
  </si>
  <si>
    <t>2026-03-21</t>
  </si>
  <si>
    <t>L0741</t>
  </si>
  <si>
    <t>Customer_741</t>
  </si>
  <si>
    <t>L0742</t>
  </si>
  <si>
    <t>Customer_742</t>
  </si>
  <si>
    <t>L0743</t>
  </si>
  <si>
    <t>Customer_743</t>
  </si>
  <si>
    <t>L0744</t>
  </si>
  <si>
    <t>Customer_744</t>
  </si>
  <si>
    <t>L0745</t>
  </si>
  <si>
    <t>Customer_745</t>
  </si>
  <si>
    <t>L0746</t>
  </si>
  <si>
    <t>Customer_746</t>
  </si>
  <si>
    <t>L0747</t>
  </si>
  <si>
    <t>Customer_747</t>
  </si>
  <si>
    <t>2025-12-25</t>
  </si>
  <si>
    <t>L0748</t>
  </si>
  <si>
    <t>Customer_748</t>
  </si>
  <si>
    <t>2025-07-28</t>
  </si>
  <si>
    <t>L0749</t>
  </si>
  <si>
    <t>Customer_749</t>
  </si>
  <si>
    <t>L0750</t>
  </si>
  <si>
    <t>Customer_750</t>
  </si>
  <si>
    <t>L0751</t>
  </si>
  <si>
    <t>Customer_751</t>
  </si>
  <si>
    <t>L0752</t>
  </si>
  <si>
    <t>Customer_752</t>
  </si>
  <si>
    <t>L0753</t>
  </si>
  <si>
    <t>Customer_753</t>
  </si>
  <si>
    <t>L0754</t>
  </si>
  <si>
    <t>Customer_754</t>
  </si>
  <si>
    <t>L0755</t>
  </si>
  <si>
    <t>Customer_755</t>
  </si>
  <si>
    <t>2025-01-16</t>
  </si>
  <si>
    <t>L0756</t>
  </si>
  <si>
    <t>Customer_756</t>
  </si>
  <si>
    <t>2025-09-14</t>
  </si>
  <si>
    <t>L0757</t>
  </si>
  <si>
    <t>Customer_757</t>
  </si>
  <si>
    <t>L0758</t>
  </si>
  <si>
    <t>Customer_758</t>
  </si>
  <si>
    <t>L0759</t>
  </si>
  <si>
    <t>Customer_759</t>
  </si>
  <si>
    <t>2025-04-19</t>
  </si>
  <si>
    <t>L0760</t>
  </si>
  <si>
    <t>Customer_760</t>
  </si>
  <si>
    <t>L0761</t>
  </si>
  <si>
    <t>Customer_761</t>
  </si>
  <si>
    <t>2025-12-06</t>
  </si>
  <si>
    <t>L0762</t>
  </si>
  <si>
    <t>Customer_762</t>
  </si>
  <si>
    <t>2025-09-23</t>
  </si>
  <si>
    <t>L0763</t>
  </si>
  <si>
    <t>Customer_763</t>
  </si>
  <si>
    <t>L0764</t>
  </si>
  <si>
    <t>Customer_764</t>
  </si>
  <si>
    <t>2025-07-24</t>
  </si>
  <si>
    <t>L0765</t>
  </si>
  <si>
    <t>Customer_765</t>
  </si>
  <si>
    <t>L0766</t>
  </si>
  <si>
    <t>Customer_766</t>
  </si>
  <si>
    <t>L0767</t>
  </si>
  <si>
    <t>Customer_767</t>
  </si>
  <si>
    <t>L0768</t>
  </si>
  <si>
    <t>Customer_768</t>
  </si>
  <si>
    <t>2025-05-11</t>
  </si>
  <si>
    <t>L0769</t>
  </si>
  <si>
    <t>Customer_769</t>
  </si>
  <si>
    <t>2025-01-14</t>
  </si>
  <si>
    <t>L0770</t>
  </si>
  <si>
    <t>Customer_770</t>
  </si>
  <si>
    <t>L0771</t>
  </si>
  <si>
    <t>Customer_771</t>
  </si>
  <si>
    <t>L0772</t>
  </si>
  <si>
    <t>Customer_772</t>
  </si>
  <si>
    <t>L0773</t>
  </si>
  <si>
    <t>Customer_773</t>
  </si>
  <si>
    <t>L0774</t>
  </si>
  <si>
    <t>Customer_774</t>
  </si>
  <si>
    <t>L0775</t>
  </si>
  <si>
    <t>Customer_775</t>
  </si>
  <si>
    <t>L0776</t>
  </si>
  <si>
    <t>Customer_776</t>
  </si>
  <si>
    <t>L0777</t>
  </si>
  <si>
    <t>Customer_777</t>
  </si>
  <si>
    <t>L0778</t>
  </si>
  <si>
    <t>Customer_778</t>
  </si>
  <si>
    <t>L0779</t>
  </si>
  <si>
    <t>Customer_779</t>
  </si>
  <si>
    <t>2026-04-13</t>
  </si>
  <si>
    <t>L0780</t>
  </si>
  <si>
    <t>Customer_780</t>
  </si>
  <si>
    <t>2025-07-16</t>
  </si>
  <si>
    <t>L0781</t>
  </si>
  <si>
    <t>Customer_781</t>
  </si>
  <si>
    <t>2025-04-14</t>
  </si>
  <si>
    <t>L0782</t>
  </si>
  <si>
    <t>Customer_782</t>
  </si>
  <si>
    <t>L0783</t>
  </si>
  <si>
    <t>Customer_783</t>
  </si>
  <si>
    <t>L0784</t>
  </si>
  <si>
    <t>Customer_784</t>
  </si>
  <si>
    <t>L0785</t>
  </si>
  <si>
    <t>Customer_785</t>
  </si>
  <si>
    <t>L0786</t>
  </si>
  <si>
    <t>Customer_786</t>
  </si>
  <si>
    <t>L0787</t>
  </si>
  <si>
    <t>Customer_787</t>
  </si>
  <si>
    <t>2025-09-16</t>
  </si>
  <si>
    <t>L0788</t>
  </si>
  <si>
    <t>Customer_788</t>
  </si>
  <si>
    <t>2025-06-10</t>
  </si>
  <si>
    <t>L0789</t>
  </si>
  <si>
    <t>Customer_789</t>
  </si>
  <si>
    <t>L0790</t>
  </si>
  <si>
    <t>Customer_790</t>
  </si>
  <si>
    <t>L0791</t>
  </si>
  <si>
    <t>Customer_791</t>
  </si>
  <si>
    <t>L0792</t>
  </si>
  <si>
    <t>Customer_792</t>
  </si>
  <si>
    <t>L0793</t>
  </si>
  <si>
    <t>Customer_793</t>
  </si>
  <si>
    <t>2025-08-13</t>
  </si>
  <si>
    <t>L0794</t>
  </si>
  <si>
    <t>Customer_794</t>
  </si>
  <si>
    <t>2025-12-07</t>
  </si>
  <si>
    <t>L0795</t>
  </si>
  <si>
    <t>Customer_795</t>
  </si>
  <si>
    <t>L0796</t>
  </si>
  <si>
    <t>Customer_796</t>
  </si>
  <si>
    <t>L0797</t>
  </si>
  <si>
    <t>Customer_797</t>
  </si>
  <si>
    <t>L0798</t>
  </si>
  <si>
    <t>Customer_798</t>
  </si>
  <si>
    <t>2025-08-06</t>
  </si>
  <si>
    <t>L0799</t>
  </si>
  <si>
    <t>Customer_799</t>
  </si>
  <si>
    <t>L0800</t>
  </si>
  <si>
    <t>Customer_800</t>
  </si>
  <si>
    <t>L0801</t>
  </si>
  <si>
    <t>Customer_801</t>
  </si>
  <si>
    <t>L0802</t>
  </si>
  <si>
    <t>Customer_802</t>
  </si>
  <si>
    <t>L0803</t>
  </si>
  <si>
    <t>Customer_803</t>
  </si>
  <si>
    <t>L0804</t>
  </si>
  <si>
    <t>Customer_804</t>
  </si>
  <si>
    <t>L0805</t>
  </si>
  <si>
    <t>Customer_805</t>
  </si>
  <si>
    <t>L0806</t>
  </si>
  <si>
    <t>Customer_806</t>
  </si>
  <si>
    <t>L0807</t>
  </si>
  <si>
    <t>Customer_807</t>
  </si>
  <si>
    <t>L0808</t>
  </si>
  <si>
    <t>Customer_808</t>
  </si>
  <si>
    <t>L0809</t>
  </si>
  <si>
    <t>Customer_809</t>
  </si>
  <si>
    <t>L0810</t>
  </si>
  <si>
    <t>Customer_810</t>
  </si>
  <si>
    <t>L0811</t>
  </si>
  <si>
    <t>Customer_811</t>
  </si>
  <si>
    <t>2026-02-21</t>
  </si>
  <si>
    <t>L0812</t>
  </si>
  <si>
    <t>Customer_812</t>
  </si>
  <si>
    <t>L0813</t>
  </si>
  <si>
    <t>Customer_813</t>
  </si>
  <si>
    <t>L0814</t>
  </si>
  <si>
    <t>Customer_814</t>
  </si>
  <si>
    <t>L0815</t>
  </si>
  <si>
    <t>Customer_815</t>
  </si>
  <si>
    <t>2026-04-02</t>
  </si>
  <si>
    <t>L0816</t>
  </si>
  <si>
    <t>Customer_816</t>
  </si>
  <si>
    <t>L0817</t>
  </si>
  <si>
    <t>Customer_817</t>
  </si>
  <si>
    <t>L0818</t>
  </si>
  <si>
    <t>Customer_818</t>
  </si>
  <si>
    <t>L0819</t>
  </si>
  <si>
    <t>Customer_819</t>
  </si>
  <si>
    <t>L0820</t>
  </si>
  <si>
    <t>Customer_820</t>
  </si>
  <si>
    <t>L0821</t>
  </si>
  <si>
    <t>Customer_821</t>
  </si>
  <si>
    <t>L0822</t>
  </si>
  <si>
    <t>Customer_822</t>
  </si>
  <si>
    <t>2025-02-19</t>
  </si>
  <si>
    <t>L0823</t>
  </si>
  <si>
    <t>Customer_823</t>
  </si>
  <si>
    <t>L0824</t>
  </si>
  <si>
    <t>Customer_824</t>
  </si>
  <si>
    <t>L0825</t>
  </si>
  <si>
    <t>Customer_825</t>
  </si>
  <si>
    <t>L0826</t>
  </si>
  <si>
    <t>Customer_826</t>
  </si>
  <si>
    <t>L0827</t>
  </si>
  <si>
    <t>Customer_827</t>
  </si>
  <si>
    <t>L0828</t>
  </si>
  <si>
    <t>Customer_828</t>
  </si>
  <si>
    <t>L0829</t>
  </si>
  <si>
    <t>Customer_829</t>
  </si>
  <si>
    <t>L0830</t>
  </si>
  <si>
    <t>Customer_830</t>
  </si>
  <si>
    <t>L0831</t>
  </si>
  <si>
    <t>Customer_831</t>
  </si>
  <si>
    <t>L0832</t>
  </si>
  <si>
    <t>Customer_832</t>
  </si>
  <si>
    <t>L0833</t>
  </si>
  <si>
    <t>Customer_833</t>
  </si>
  <si>
    <t>2025-09-12</t>
  </si>
  <si>
    <t>L0834</t>
  </si>
  <si>
    <t>Customer_834</t>
  </si>
  <si>
    <t>L0835</t>
  </si>
  <si>
    <t>Customer_835</t>
  </si>
  <si>
    <t>2025-04-12</t>
  </si>
  <si>
    <t>L0836</t>
  </si>
  <si>
    <t>Customer_836</t>
  </si>
  <si>
    <t>L0837</t>
  </si>
  <si>
    <t>Customer_837</t>
  </si>
  <si>
    <t>L0838</t>
  </si>
  <si>
    <t>Customer_838</t>
  </si>
  <si>
    <t>L0839</t>
  </si>
  <si>
    <t>Customer_839</t>
  </si>
  <si>
    <t>L0840</t>
  </si>
  <si>
    <t>Customer_840</t>
  </si>
  <si>
    <t>L0841</t>
  </si>
  <si>
    <t>Customer_841</t>
  </si>
  <si>
    <t>L0842</t>
  </si>
  <si>
    <t>Customer_842</t>
  </si>
  <si>
    <t>L0843</t>
  </si>
  <si>
    <t>Customer_843</t>
  </si>
  <si>
    <t>L0844</t>
  </si>
  <si>
    <t>Customer_844</t>
  </si>
  <si>
    <t>2025-06-07</t>
  </si>
  <si>
    <t>L0845</t>
  </si>
  <si>
    <t>Customer_845</t>
  </si>
  <si>
    <t>L0846</t>
  </si>
  <si>
    <t>Customer_846</t>
  </si>
  <si>
    <t>2025-04-28</t>
  </si>
  <si>
    <t>L0847</t>
  </si>
  <si>
    <t>Customer_847</t>
  </si>
  <si>
    <t>L0848</t>
  </si>
  <si>
    <t>Customer_848</t>
  </si>
  <si>
    <t>L0849</t>
  </si>
  <si>
    <t>Customer_849</t>
  </si>
  <si>
    <t>L0850</t>
  </si>
  <si>
    <t>Customer_850</t>
  </si>
  <si>
    <t>L0851</t>
  </si>
  <si>
    <t>Customer_851</t>
  </si>
  <si>
    <t>2025-11-05</t>
  </si>
  <si>
    <t>L0852</t>
  </si>
  <si>
    <t>Customer_852</t>
  </si>
  <si>
    <t>L0853</t>
  </si>
  <si>
    <t>Customer_853</t>
  </si>
  <si>
    <t>L0854</t>
  </si>
  <si>
    <t>Customer_854</t>
  </si>
  <si>
    <t>L0855</t>
  </si>
  <si>
    <t>Customer_855</t>
  </si>
  <si>
    <t>L0856</t>
  </si>
  <si>
    <t>Customer_856</t>
  </si>
  <si>
    <t>L0857</t>
  </si>
  <si>
    <t>Customer_857</t>
  </si>
  <si>
    <t>L0858</t>
  </si>
  <si>
    <t>Customer_858</t>
  </si>
  <si>
    <t>L0859</t>
  </si>
  <si>
    <t>Customer_859</t>
  </si>
  <si>
    <t>2025-03-10</t>
  </si>
  <si>
    <t>L0860</t>
  </si>
  <si>
    <t>Customer_860</t>
  </si>
  <si>
    <t>L0861</t>
  </si>
  <si>
    <t>Customer_861</t>
  </si>
  <si>
    <t>L0862</t>
  </si>
  <si>
    <t>Customer_862</t>
  </si>
  <si>
    <t>L0863</t>
  </si>
  <si>
    <t>Customer_863</t>
  </si>
  <si>
    <t>L0864</t>
  </si>
  <si>
    <t>Customer_864</t>
  </si>
  <si>
    <t>L0865</t>
  </si>
  <si>
    <t>Customer_865</t>
  </si>
  <si>
    <t>L0866</t>
  </si>
  <si>
    <t>Customer_866</t>
  </si>
  <si>
    <t>L0867</t>
  </si>
  <si>
    <t>Customer_867</t>
  </si>
  <si>
    <t>L0868</t>
  </si>
  <si>
    <t>Customer_868</t>
  </si>
  <si>
    <t>L0869</t>
  </si>
  <si>
    <t>Customer_869</t>
  </si>
  <si>
    <t>2025-06-13</t>
  </si>
  <si>
    <t>L0870</t>
  </si>
  <si>
    <t>Customer_870</t>
  </si>
  <si>
    <t>L0871</t>
  </si>
  <si>
    <t>Customer_871</t>
  </si>
  <si>
    <t>L0872</t>
  </si>
  <si>
    <t>Customer_872</t>
  </si>
  <si>
    <t>L0873</t>
  </si>
  <si>
    <t>Customer_873</t>
  </si>
  <si>
    <t>L0874</t>
  </si>
  <si>
    <t>Customer_874</t>
  </si>
  <si>
    <t>2025-05-17</t>
  </si>
  <si>
    <t>L0875</t>
  </si>
  <si>
    <t>Customer_875</t>
  </si>
  <si>
    <t>L0876</t>
  </si>
  <si>
    <t>Customer_876</t>
  </si>
  <si>
    <t>L0877</t>
  </si>
  <si>
    <t>Customer_877</t>
  </si>
  <si>
    <t>2025-03-16</t>
  </si>
  <si>
    <t>L0878</t>
  </si>
  <si>
    <t>Customer_878</t>
  </si>
  <si>
    <t>L0879</t>
  </si>
  <si>
    <t>Customer_879</t>
  </si>
  <si>
    <t>L0880</t>
  </si>
  <si>
    <t>Customer_880</t>
  </si>
  <si>
    <t>L0881</t>
  </si>
  <si>
    <t>Customer_881</t>
  </si>
  <si>
    <t>2025-06-17</t>
  </si>
  <si>
    <t>L0882</t>
  </si>
  <si>
    <t>Customer_882</t>
  </si>
  <si>
    <t>L0883</t>
  </si>
  <si>
    <t>Customer_883</t>
  </si>
  <si>
    <t>L0884</t>
  </si>
  <si>
    <t>Customer_884</t>
  </si>
  <si>
    <t>L0885</t>
  </si>
  <si>
    <t>Customer_885</t>
  </si>
  <si>
    <t>2026-04-09</t>
  </si>
  <si>
    <t>L0886</t>
  </si>
  <si>
    <t>Customer_886</t>
  </si>
  <si>
    <t>L0887</t>
  </si>
  <si>
    <t>Customer_887</t>
  </si>
  <si>
    <t>L0888</t>
  </si>
  <si>
    <t>Customer_888</t>
  </si>
  <si>
    <t>L0889</t>
  </si>
  <si>
    <t>Customer_889</t>
  </si>
  <si>
    <t>L0890</t>
  </si>
  <si>
    <t>Customer_890</t>
  </si>
  <si>
    <t>L0891</t>
  </si>
  <si>
    <t>Customer_891</t>
  </si>
  <si>
    <t>2025-02-13</t>
  </si>
  <si>
    <t>L0892</t>
  </si>
  <si>
    <t>Customer_892</t>
  </si>
  <si>
    <t>L0893</t>
  </si>
  <si>
    <t>Customer_893</t>
  </si>
  <si>
    <t>L0894</t>
  </si>
  <si>
    <t>Customer_894</t>
  </si>
  <si>
    <t>2025-07-18</t>
  </si>
  <si>
    <t>L0895</t>
  </si>
  <si>
    <t>Customer_895</t>
  </si>
  <si>
    <t>L0896</t>
  </si>
  <si>
    <t>Customer_896</t>
  </si>
  <si>
    <t>L0897</t>
  </si>
  <si>
    <t>Customer_897</t>
  </si>
  <si>
    <t>L0898</t>
  </si>
  <si>
    <t>Customer_898</t>
  </si>
  <si>
    <t>L0899</t>
  </si>
  <si>
    <t>Customer_899</t>
  </si>
  <si>
    <t>L0900</t>
  </si>
  <si>
    <t>Customer_900</t>
  </si>
  <si>
    <t>L0901</t>
  </si>
  <si>
    <t>Customer_901</t>
  </si>
  <si>
    <t>L0902</t>
  </si>
  <si>
    <t>Customer_902</t>
  </si>
  <si>
    <t>2026-05-04</t>
  </si>
  <si>
    <t>L0903</t>
  </si>
  <si>
    <t>Customer_903</t>
  </si>
  <si>
    <t>L0904</t>
  </si>
  <si>
    <t>Customer_904</t>
  </si>
  <si>
    <t>L0905</t>
  </si>
  <si>
    <t>Customer_905</t>
  </si>
  <si>
    <t>2026-03-29</t>
  </si>
  <si>
    <t>L0906</t>
  </si>
  <si>
    <t>Customer_906</t>
  </si>
  <si>
    <t>L0907</t>
  </si>
  <si>
    <t>Customer_907</t>
  </si>
  <si>
    <t>L0908</t>
  </si>
  <si>
    <t>Customer_908</t>
  </si>
  <si>
    <t>2025-06-30</t>
  </si>
  <si>
    <t>L0909</t>
  </si>
  <si>
    <t>Customer_909</t>
  </si>
  <si>
    <t>L0910</t>
  </si>
  <si>
    <t>Customer_910</t>
  </si>
  <si>
    <t>L0911</t>
  </si>
  <si>
    <t>Customer_911</t>
  </si>
  <si>
    <t>L0912</t>
  </si>
  <si>
    <t>Customer_912</t>
  </si>
  <si>
    <t>L0913</t>
  </si>
  <si>
    <t>Customer_913</t>
  </si>
  <si>
    <t>2025-12-16</t>
  </si>
  <si>
    <t>L0914</t>
  </si>
  <si>
    <t>Customer_914</t>
  </si>
  <si>
    <t>L0915</t>
  </si>
  <si>
    <t>Customer_915</t>
  </si>
  <si>
    <t>L0916</t>
  </si>
  <si>
    <t>Customer_916</t>
  </si>
  <si>
    <t>L0917</t>
  </si>
  <si>
    <t>Customer_917</t>
  </si>
  <si>
    <t>L0918</t>
  </si>
  <si>
    <t>Customer_918</t>
  </si>
  <si>
    <t>L0919</t>
  </si>
  <si>
    <t>Customer_919</t>
  </si>
  <si>
    <t>L0920</t>
  </si>
  <si>
    <t>Customer_920</t>
  </si>
  <si>
    <t>L0921</t>
  </si>
  <si>
    <t>Customer_921</t>
  </si>
  <si>
    <t>L0922</t>
  </si>
  <si>
    <t>Customer_922</t>
  </si>
  <si>
    <t>L0923</t>
  </si>
  <si>
    <t>Customer_923</t>
  </si>
  <si>
    <t>L0924</t>
  </si>
  <si>
    <t>Customer_924</t>
  </si>
  <si>
    <t>2025-09-03</t>
  </si>
  <si>
    <t>L0925</t>
  </si>
  <si>
    <t>Customer_925</t>
  </si>
  <si>
    <t>L0926</t>
  </si>
  <si>
    <t>Customer_926</t>
  </si>
  <si>
    <t>L0927</t>
  </si>
  <si>
    <t>Customer_927</t>
  </si>
  <si>
    <t>L0928</t>
  </si>
  <si>
    <t>Customer_928</t>
  </si>
  <si>
    <t>2026-02-15</t>
  </si>
  <si>
    <t>L0929</t>
  </si>
  <si>
    <t>Customer_929</t>
  </si>
  <si>
    <t>L0930</t>
  </si>
  <si>
    <t>Customer_930</t>
  </si>
  <si>
    <t>2025-09-07</t>
  </si>
  <si>
    <t>L0931</t>
  </si>
  <si>
    <t>Customer_931</t>
  </si>
  <si>
    <t>L0932</t>
  </si>
  <si>
    <t>Customer_932</t>
  </si>
  <si>
    <t>L0933</t>
  </si>
  <si>
    <t>Customer_933</t>
  </si>
  <si>
    <t>L0934</t>
  </si>
  <si>
    <t>Customer_934</t>
  </si>
  <si>
    <t>L0935</t>
  </si>
  <si>
    <t>Customer_935</t>
  </si>
  <si>
    <t>L0936</t>
  </si>
  <si>
    <t>Customer_936</t>
  </si>
  <si>
    <t>L0937</t>
  </si>
  <si>
    <t>Customer_937</t>
  </si>
  <si>
    <t>L0938</t>
  </si>
  <si>
    <t>Customer_938</t>
  </si>
  <si>
    <t>2025-08-16</t>
  </si>
  <si>
    <t>L0939</t>
  </si>
  <si>
    <t>Customer_939</t>
  </si>
  <si>
    <t>L0940</t>
  </si>
  <si>
    <t>Customer_940</t>
  </si>
  <si>
    <t>2025-03-22</t>
  </si>
  <si>
    <t>L0941</t>
  </si>
  <si>
    <t>Customer_941</t>
  </si>
  <si>
    <t>2026-03-08</t>
  </si>
  <si>
    <t>L0942</t>
  </si>
  <si>
    <t>Customer_942</t>
  </si>
  <si>
    <t>L0943</t>
  </si>
  <si>
    <t>Customer_943</t>
  </si>
  <si>
    <t>L0944</t>
  </si>
  <si>
    <t>Customer_944</t>
  </si>
  <si>
    <t>2025-01-15</t>
  </si>
  <si>
    <t>L0945</t>
  </si>
  <si>
    <t>Customer_945</t>
  </si>
  <si>
    <t>L0946</t>
  </si>
  <si>
    <t>Customer_946</t>
  </si>
  <si>
    <t>L0947</t>
  </si>
  <si>
    <t>Customer_947</t>
  </si>
  <si>
    <t>L0948</t>
  </si>
  <si>
    <t>Customer_948</t>
  </si>
  <si>
    <t>L0949</t>
  </si>
  <si>
    <t>Customer_949</t>
  </si>
  <si>
    <t>L0950</t>
  </si>
  <si>
    <t>Customer_950</t>
  </si>
  <si>
    <t>L0951</t>
  </si>
  <si>
    <t>Customer_951</t>
  </si>
  <si>
    <t>2025-07-23</t>
  </si>
  <si>
    <t>L0952</t>
  </si>
  <si>
    <t>Customer_952</t>
  </si>
  <si>
    <t>2025-04-25</t>
  </si>
  <si>
    <t>L0953</t>
  </si>
  <si>
    <t>Customer_953</t>
  </si>
  <si>
    <t>2025-11-01</t>
  </si>
  <si>
    <t>L0954</t>
  </si>
  <si>
    <t>Customer_954</t>
  </si>
  <si>
    <t>L0955</t>
  </si>
  <si>
    <t>Customer_955</t>
  </si>
  <si>
    <t>L0956</t>
  </si>
  <si>
    <t>Customer_956</t>
  </si>
  <si>
    <t>L0957</t>
  </si>
  <si>
    <t>Customer_957</t>
  </si>
  <si>
    <t>L0958</t>
  </si>
  <si>
    <t>Customer_958</t>
  </si>
  <si>
    <t>L0959</t>
  </si>
  <si>
    <t>Customer_959</t>
  </si>
  <si>
    <t>L0960</t>
  </si>
  <si>
    <t>Customer_960</t>
  </si>
  <si>
    <t>L0961</t>
  </si>
  <si>
    <t>Customer_961</t>
  </si>
  <si>
    <t>L0962</t>
  </si>
  <si>
    <t>Customer_962</t>
  </si>
  <si>
    <t>L0963</t>
  </si>
  <si>
    <t>Customer_963</t>
  </si>
  <si>
    <t>L0964</t>
  </si>
  <si>
    <t>Customer_964</t>
  </si>
  <si>
    <t>2025-10-21</t>
  </si>
  <si>
    <t>L0965</t>
  </si>
  <si>
    <t>Customer_965</t>
  </si>
  <si>
    <t>L0966</t>
  </si>
  <si>
    <t>Customer_966</t>
  </si>
  <si>
    <t>L0967</t>
  </si>
  <si>
    <t>Customer_967</t>
  </si>
  <si>
    <t>L0968</t>
  </si>
  <si>
    <t>Customer_968</t>
  </si>
  <si>
    <t>L0969</t>
  </si>
  <si>
    <t>Customer_969</t>
  </si>
  <si>
    <t>L0970</t>
  </si>
  <si>
    <t>Customer_970</t>
  </si>
  <si>
    <t>L0971</t>
  </si>
  <si>
    <t>Customer_971</t>
  </si>
  <si>
    <t>L0972</t>
  </si>
  <si>
    <t>Customer_972</t>
  </si>
  <si>
    <t>L0973</t>
  </si>
  <si>
    <t>Customer_973</t>
  </si>
  <si>
    <t>2026-04-21</t>
  </si>
  <si>
    <t>L0974</t>
  </si>
  <si>
    <t>Customer_974</t>
  </si>
  <si>
    <t>2025-01-17</t>
  </si>
  <si>
    <t>L0975</t>
  </si>
  <si>
    <t>Customer_975</t>
  </si>
  <si>
    <t>L0976</t>
  </si>
  <si>
    <t>Customer_976</t>
  </si>
  <si>
    <t>L0977</t>
  </si>
  <si>
    <t>Customer_977</t>
  </si>
  <si>
    <t>L0978</t>
  </si>
  <si>
    <t>Customer_978</t>
  </si>
  <si>
    <t>L0979</t>
  </si>
  <si>
    <t>Customer_979</t>
  </si>
  <si>
    <t>L0980</t>
  </si>
  <si>
    <t>Customer_980</t>
  </si>
  <si>
    <t>L0981</t>
  </si>
  <si>
    <t>Customer_981</t>
  </si>
  <si>
    <t>L0982</t>
  </si>
  <si>
    <t>Customer_982</t>
  </si>
  <si>
    <t>L0983</t>
  </si>
  <si>
    <t>Customer_983</t>
  </si>
  <si>
    <t>L0984</t>
  </si>
  <si>
    <t>Customer_984</t>
  </si>
  <si>
    <t>2025-10-19</t>
  </si>
  <si>
    <t>L0985</t>
  </si>
  <si>
    <t>Customer_985</t>
  </si>
  <si>
    <t>L0986</t>
  </si>
  <si>
    <t>Customer_986</t>
  </si>
  <si>
    <t>L0987</t>
  </si>
  <si>
    <t>Customer_987</t>
  </si>
  <si>
    <t>L0988</t>
  </si>
  <si>
    <t>Customer_988</t>
  </si>
  <si>
    <t>L0989</t>
  </si>
  <si>
    <t>Customer_989</t>
  </si>
  <si>
    <t>L0990</t>
  </si>
  <si>
    <t>Customer_990</t>
  </si>
  <si>
    <t>L0991</t>
  </si>
  <si>
    <t>Customer_991</t>
  </si>
  <si>
    <t>L0992</t>
  </si>
  <si>
    <t>Customer_992</t>
  </si>
  <si>
    <t>L0993</t>
  </si>
  <si>
    <t>Customer_993</t>
  </si>
  <si>
    <t>L0994</t>
  </si>
  <si>
    <t>Customer_994</t>
  </si>
  <si>
    <t>L0995</t>
  </si>
  <si>
    <t>Customer_995</t>
  </si>
  <si>
    <t>L0996</t>
  </si>
  <si>
    <t>Customer_996</t>
  </si>
  <si>
    <t>L0997</t>
  </si>
  <si>
    <t>Customer_997</t>
  </si>
  <si>
    <t>L0998</t>
  </si>
  <si>
    <t>Customer_998</t>
  </si>
  <si>
    <t>L0999</t>
  </si>
  <si>
    <t>Customer_999</t>
  </si>
  <si>
    <t>L1000</t>
  </si>
  <si>
    <t>Customer_1000</t>
  </si>
  <si>
    <t>Feedback_ID</t>
  </si>
  <si>
    <t>Feedback_Category</t>
  </si>
  <si>
    <t>Satisfaction_Level</t>
  </si>
  <si>
    <t>NPS_Score</t>
  </si>
  <si>
    <t>Issue_Severity</t>
  </si>
  <si>
    <t>Feedback_Date</t>
  </si>
  <si>
    <t>FB0001</t>
  </si>
  <si>
    <t>Late Response</t>
  </si>
  <si>
    <t>Neutral</t>
  </si>
  <si>
    <t>FB0002</t>
  </si>
  <si>
    <t>Product Quality</t>
  </si>
  <si>
    <t>Satisfied</t>
  </si>
  <si>
    <t>FB0003</t>
  </si>
  <si>
    <t>Excellent Service</t>
  </si>
  <si>
    <t>FB0004</t>
  </si>
  <si>
    <t>FB0005</t>
  </si>
  <si>
    <t>Delivery Delay</t>
  </si>
  <si>
    <t>FB0006</t>
  </si>
  <si>
    <t>FB0007</t>
  </si>
  <si>
    <t>FB0008</t>
  </si>
  <si>
    <t>FB0009</t>
  </si>
  <si>
    <t>FB0010</t>
  </si>
  <si>
    <t>Dissatisfied</t>
  </si>
  <si>
    <t>FB0011</t>
  </si>
  <si>
    <t>Pricing Concern</t>
  </si>
  <si>
    <t>FB0012</t>
  </si>
  <si>
    <t>FB0013</t>
  </si>
  <si>
    <t>FB0014</t>
  </si>
  <si>
    <t>FB0015</t>
  </si>
  <si>
    <t>2025-02-09</t>
  </si>
  <si>
    <t>FB0016</t>
  </si>
  <si>
    <t>FB0017</t>
  </si>
  <si>
    <t>FB0018</t>
  </si>
  <si>
    <t>FB0019</t>
  </si>
  <si>
    <t>FB0020</t>
  </si>
  <si>
    <t>Very Satisfied</t>
  </si>
  <si>
    <t>FB0021</t>
  </si>
  <si>
    <t>FB0022</t>
  </si>
  <si>
    <t>FB0023</t>
  </si>
  <si>
    <t>FB0024</t>
  </si>
  <si>
    <t>FB0025</t>
  </si>
  <si>
    <t>FB0026</t>
  </si>
  <si>
    <t>FB0027</t>
  </si>
  <si>
    <t>FB0028</t>
  </si>
  <si>
    <t>FB0029</t>
  </si>
  <si>
    <t>FB0030</t>
  </si>
  <si>
    <t>2025-04-06</t>
  </si>
  <si>
    <t>FB0031</t>
  </si>
  <si>
    <t>FB0032</t>
  </si>
  <si>
    <t>2025-07-07</t>
  </si>
  <si>
    <t>FB0033</t>
  </si>
  <si>
    <t>FB0034</t>
  </si>
  <si>
    <t>FB0035</t>
  </si>
  <si>
    <t>FB0036</t>
  </si>
  <si>
    <t>FB0037</t>
  </si>
  <si>
    <t>FB0038</t>
  </si>
  <si>
    <t>FB0039</t>
  </si>
  <si>
    <t>FB0040</t>
  </si>
  <si>
    <t>FB0041</t>
  </si>
  <si>
    <t>FB0042</t>
  </si>
  <si>
    <t>FB0043</t>
  </si>
  <si>
    <t>FB0044</t>
  </si>
  <si>
    <t>FB0045</t>
  </si>
  <si>
    <t>FB0046</t>
  </si>
  <si>
    <t>FB0047</t>
  </si>
  <si>
    <t>FB0048</t>
  </si>
  <si>
    <t>FB0049</t>
  </si>
  <si>
    <t>FB0050</t>
  </si>
  <si>
    <t>FB0051</t>
  </si>
  <si>
    <t>FB0052</t>
  </si>
  <si>
    <t>FB0053</t>
  </si>
  <si>
    <t>FB0054</t>
  </si>
  <si>
    <t>FB0055</t>
  </si>
  <si>
    <t>2025-12-09</t>
  </si>
  <si>
    <t>FB0056</t>
  </si>
  <si>
    <t>FB0057</t>
  </si>
  <si>
    <t>FB0058</t>
  </si>
  <si>
    <t>FB0059</t>
  </si>
  <si>
    <t>FB0060</t>
  </si>
  <si>
    <t>FB0061</t>
  </si>
  <si>
    <t>FB0062</t>
  </si>
  <si>
    <t>FB0063</t>
  </si>
  <si>
    <t>FB0064</t>
  </si>
  <si>
    <t>FB0065</t>
  </si>
  <si>
    <t>FB0066</t>
  </si>
  <si>
    <t>FB0067</t>
  </si>
  <si>
    <t>FB0068</t>
  </si>
  <si>
    <t>FB0069</t>
  </si>
  <si>
    <t>2025-04-05</t>
  </si>
  <si>
    <t>FB0070</t>
  </si>
  <si>
    <t>FB0071</t>
  </si>
  <si>
    <t>FB0072</t>
  </si>
  <si>
    <t>FB0073</t>
  </si>
  <si>
    <t>FB0074</t>
  </si>
  <si>
    <t>FB0075</t>
  </si>
  <si>
    <t>FB0076</t>
  </si>
  <si>
    <t>FB0077</t>
  </si>
  <si>
    <t>FB0078</t>
  </si>
  <si>
    <t>FB0079</t>
  </si>
  <si>
    <t>FB0080</t>
  </si>
  <si>
    <t>FB0081</t>
  </si>
  <si>
    <t>FB0082</t>
  </si>
  <si>
    <t>FB0083</t>
  </si>
  <si>
    <t>FB0084</t>
  </si>
  <si>
    <t>FB0085</t>
  </si>
  <si>
    <t>FB0086</t>
  </si>
  <si>
    <t>2026-02-28</t>
  </si>
  <si>
    <t>FB0087</t>
  </si>
  <si>
    <t>FB0088</t>
  </si>
  <si>
    <t>FB0089</t>
  </si>
  <si>
    <t>FB0090</t>
  </si>
  <si>
    <t>FB0091</t>
  </si>
  <si>
    <t>FB0092</t>
  </si>
  <si>
    <t>FB0093</t>
  </si>
  <si>
    <t>FB0094</t>
  </si>
  <si>
    <t>FB0095</t>
  </si>
  <si>
    <t>FB0096</t>
  </si>
  <si>
    <t>FB0097</t>
  </si>
  <si>
    <t>FB0098</t>
  </si>
  <si>
    <t>FB0099</t>
  </si>
  <si>
    <t>FB0100</t>
  </si>
  <si>
    <t>2025-04-11</t>
  </si>
  <si>
    <t>FB0101</t>
  </si>
  <si>
    <t>FB0102</t>
  </si>
  <si>
    <t>FB0103</t>
  </si>
  <si>
    <t>FB0104</t>
  </si>
  <si>
    <t>FB0105</t>
  </si>
  <si>
    <t>FB0106</t>
  </si>
  <si>
    <t>2026-05-08</t>
  </si>
  <si>
    <t>FB0107</t>
  </si>
  <si>
    <t>FB0108</t>
  </si>
  <si>
    <t>FB0109</t>
  </si>
  <si>
    <t>FB0110</t>
  </si>
  <si>
    <t>FB0111</t>
  </si>
  <si>
    <t>FB0112</t>
  </si>
  <si>
    <t>FB0113</t>
  </si>
  <si>
    <t>FB0114</t>
  </si>
  <si>
    <t>FB0115</t>
  </si>
  <si>
    <t>FB0116</t>
  </si>
  <si>
    <t>FB0117</t>
  </si>
  <si>
    <t>FB0118</t>
  </si>
  <si>
    <t>FB0119</t>
  </si>
  <si>
    <t>FB0120</t>
  </si>
  <si>
    <t>2025-11-07</t>
  </si>
  <si>
    <t>FB0121</t>
  </si>
  <si>
    <t>FB0122</t>
  </si>
  <si>
    <t>FB0123</t>
  </si>
  <si>
    <t>FB0124</t>
  </si>
  <si>
    <t>FB0125</t>
  </si>
  <si>
    <t>FB0126</t>
  </si>
  <si>
    <t>FB0127</t>
  </si>
  <si>
    <t>FB0128</t>
  </si>
  <si>
    <t>FB0129</t>
  </si>
  <si>
    <t>FB0130</t>
  </si>
  <si>
    <t>FB0131</t>
  </si>
  <si>
    <t>FB0132</t>
  </si>
  <si>
    <t>FB0133</t>
  </si>
  <si>
    <t>FB0134</t>
  </si>
  <si>
    <t>FB0135</t>
  </si>
  <si>
    <t>2025-10-31</t>
  </si>
  <si>
    <t>FB0136</t>
  </si>
  <si>
    <t>2025-10-27</t>
  </si>
  <si>
    <t>FB0137</t>
  </si>
  <si>
    <t>FB0138</t>
  </si>
  <si>
    <t>FB0139</t>
  </si>
  <si>
    <t>FB0140</t>
  </si>
  <si>
    <t>FB0141</t>
  </si>
  <si>
    <t>FB0142</t>
  </si>
  <si>
    <t>FB0143</t>
  </si>
  <si>
    <t>FB0144</t>
  </si>
  <si>
    <t>FB0145</t>
  </si>
  <si>
    <t>FB0146</t>
  </si>
  <si>
    <t>FB0147</t>
  </si>
  <si>
    <t>FB0148</t>
  </si>
  <si>
    <t>2025-06-06</t>
  </si>
  <si>
    <t>FB0149</t>
  </si>
  <si>
    <t>FB0150</t>
  </si>
  <si>
    <t>FB0151</t>
  </si>
  <si>
    <t>FB0152</t>
  </si>
  <si>
    <t>FB0153</t>
  </si>
  <si>
    <t>FB0154</t>
  </si>
  <si>
    <t>FB0155</t>
  </si>
  <si>
    <t>FB0156</t>
  </si>
  <si>
    <t>FB0157</t>
  </si>
  <si>
    <t>FB0158</t>
  </si>
  <si>
    <t>FB0159</t>
  </si>
  <si>
    <t>FB0160</t>
  </si>
  <si>
    <t>FB0161</t>
  </si>
  <si>
    <t>FB0162</t>
  </si>
  <si>
    <t>FB0163</t>
  </si>
  <si>
    <t>FB0164</t>
  </si>
  <si>
    <t>FB0165</t>
  </si>
  <si>
    <t>FB0166</t>
  </si>
  <si>
    <t>FB0167</t>
  </si>
  <si>
    <t>FB0168</t>
  </si>
  <si>
    <t>FB0169</t>
  </si>
  <si>
    <t>FB0170</t>
  </si>
  <si>
    <t>FB0171</t>
  </si>
  <si>
    <t>FB0172</t>
  </si>
  <si>
    <t>FB0173</t>
  </si>
  <si>
    <t>FB0174</t>
  </si>
  <si>
    <t>FB0175</t>
  </si>
  <si>
    <t>FB0176</t>
  </si>
  <si>
    <t>2026-02-19</t>
  </si>
  <si>
    <t>FB0177</t>
  </si>
  <si>
    <t>FB0178</t>
  </si>
  <si>
    <t>FB0179</t>
  </si>
  <si>
    <t>FB0180</t>
  </si>
  <si>
    <t>FB0181</t>
  </si>
  <si>
    <t>FB0182</t>
  </si>
  <si>
    <t>2025-12-20</t>
  </si>
  <si>
    <t>FB0183</t>
  </si>
  <si>
    <t>FB0184</t>
  </si>
  <si>
    <t>FB0185</t>
  </si>
  <si>
    <t>FB0186</t>
  </si>
  <si>
    <t>2025-01-30</t>
  </si>
  <si>
    <t>FB0187</t>
  </si>
  <si>
    <t>FB0188</t>
  </si>
  <si>
    <t>FB0189</t>
  </si>
  <si>
    <t>FB0190</t>
  </si>
  <si>
    <t>FB0191</t>
  </si>
  <si>
    <t>2025-07-20</t>
  </si>
  <si>
    <t>FB0192</t>
  </si>
  <si>
    <t>FB0193</t>
  </si>
  <si>
    <t>2025-11-22</t>
  </si>
  <si>
    <t>FB0194</t>
  </si>
  <si>
    <t>FB0195</t>
  </si>
  <si>
    <t>FB0196</t>
  </si>
  <si>
    <t>FB0197</t>
  </si>
  <si>
    <t>FB0198</t>
  </si>
  <si>
    <t>FB0199</t>
  </si>
  <si>
    <t>FB0200</t>
  </si>
  <si>
    <t>FB0201</t>
  </si>
  <si>
    <t>FB0202</t>
  </si>
  <si>
    <t>FB0203</t>
  </si>
  <si>
    <t>FB0204</t>
  </si>
  <si>
    <t>FB0205</t>
  </si>
  <si>
    <t>FB0206</t>
  </si>
  <si>
    <t>FB0207</t>
  </si>
  <si>
    <t>FB0208</t>
  </si>
  <si>
    <t>FB0209</t>
  </si>
  <si>
    <t>FB0210</t>
  </si>
  <si>
    <t>FB0211</t>
  </si>
  <si>
    <t>FB0212</t>
  </si>
  <si>
    <t>FB0213</t>
  </si>
  <si>
    <t>FB0214</t>
  </si>
  <si>
    <t>FB0215</t>
  </si>
  <si>
    <t>FB0216</t>
  </si>
  <si>
    <t>FB0217</t>
  </si>
  <si>
    <t>FB0218</t>
  </si>
  <si>
    <t>FB0219</t>
  </si>
  <si>
    <t>FB0220</t>
  </si>
  <si>
    <t>FB0221</t>
  </si>
  <si>
    <t>FB0222</t>
  </si>
  <si>
    <t>FB0223</t>
  </si>
  <si>
    <t>FB0224</t>
  </si>
  <si>
    <t>FB0225</t>
  </si>
  <si>
    <t>FB0226</t>
  </si>
  <si>
    <t>FB0227</t>
  </si>
  <si>
    <t>FB0228</t>
  </si>
  <si>
    <t>FB0229</t>
  </si>
  <si>
    <t>FB0230</t>
  </si>
  <si>
    <t>2025-02-21</t>
  </si>
  <si>
    <t>FB0231</t>
  </si>
  <si>
    <t>FB0232</t>
  </si>
  <si>
    <t>FB0233</t>
  </si>
  <si>
    <t>FB0234</t>
  </si>
  <si>
    <t>FB0235</t>
  </si>
  <si>
    <t>FB0236</t>
  </si>
  <si>
    <t>FB0237</t>
  </si>
  <si>
    <t>FB0238</t>
  </si>
  <si>
    <t>FB0239</t>
  </si>
  <si>
    <t>FB0240</t>
  </si>
  <si>
    <t>FB0241</t>
  </si>
  <si>
    <t>FB0242</t>
  </si>
  <si>
    <t>FB0243</t>
  </si>
  <si>
    <t>FB0244</t>
  </si>
  <si>
    <t>FB0245</t>
  </si>
  <si>
    <t>FB0246</t>
  </si>
  <si>
    <t>FB0247</t>
  </si>
  <si>
    <t>FB0248</t>
  </si>
  <si>
    <t>FB0249</t>
  </si>
  <si>
    <t>FB0250</t>
  </si>
  <si>
    <t>2025-08-27</t>
  </si>
  <si>
    <t>FB0251</t>
  </si>
  <si>
    <t>FB0252</t>
  </si>
  <si>
    <t>FB0253</t>
  </si>
  <si>
    <t>FB0254</t>
  </si>
  <si>
    <t>FB0255</t>
  </si>
  <si>
    <t>FB0256</t>
  </si>
  <si>
    <t>FB0257</t>
  </si>
  <si>
    <t>FB0258</t>
  </si>
  <si>
    <t>FB0259</t>
  </si>
  <si>
    <t>FB0260</t>
  </si>
  <si>
    <t>FB0261</t>
  </si>
  <si>
    <t>FB0262</t>
  </si>
  <si>
    <t>FB0263</t>
  </si>
  <si>
    <t>FB0264</t>
  </si>
  <si>
    <t>FB0265</t>
  </si>
  <si>
    <t>2026-04-19</t>
  </si>
  <si>
    <t>FB0266</t>
  </si>
  <si>
    <t>FB0267</t>
  </si>
  <si>
    <t>FB0268</t>
  </si>
  <si>
    <t>FB0269</t>
  </si>
  <si>
    <t>2025-10-16</t>
  </si>
  <si>
    <t>FB0270</t>
  </si>
  <si>
    <t>FB0271</t>
  </si>
  <si>
    <t>FB0272</t>
  </si>
  <si>
    <t>FB0273</t>
  </si>
  <si>
    <t>FB0274</t>
  </si>
  <si>
    <t>FB0275</t>
  </si>
  <si>
    <t>FB0276</t>
  </si>
  <si>
    <t>FB0277</t>
  </si>
  <si>
    <t>2025-01-09</t>
  </si>
  <si>
    <t>FB0278</t>
  </si>
  <si>
    <t>FB0279</t>
  </si>
  <si>
    <t>FB0280</t>
  </si>
  <si>
    <t>FB0281</t>
  </si>
  <si>
    <t>FB0282</t>
  </si>
  <si>
    <t>FB0283</t>
  </si>
  <si>
    <t>FB0284</t>
  </si>
  <si>
    <t>FB0285</t>
  </si>
  <si>
    <t>FB0286</t>
  </si>
  <si>
    <t>FB0287</t>
  </si>
  <si>
    <t>FB0288</t>
  </si>
  <si>
    <t>FB0289</t>
  </si>
  <si>
    <t>2025-07-13</t>
  </si>
  <si>
    <t>FB0290</t>
  </si>
  <si>
    <t>FB0291</t>
  </si>
  <si>
    <t>FB0292</t>
  </si>
  <si>
    <t>FB0293</t>
  </si>
  <si>
    <t>FB0294</t>
  </si>
  <si>
    <t>FB0295</t>
  </si>
  <si>
    <t>FB0296</t>
  </si>
  <si>
    <t>FB0297</t>
  </si>
  <si>
    <t>FB0298</t>
  </si>
  <si>
    <t>FB0299</t>
  </si>
  <si>
    <t>FB0300</t>
  </si>
  <si>
    <t>FB0301</t>
  </si>
  <si>
    <t>FB0302</t>
  </si>
  <si>
    <t>FB0303</t>
  </si>
  <si>
    <t>FB0304</t>
  </si>
  <si>
    <t>FB0305</t>
  </si>
  <si>
    <t>FB0306</t>
  </si>
  <si>
    <t>FB0307</t>
  </si>
  <si>
    <t>FB0308</t>
  </si>
  <si>
    <t>FB0309</t>
  </si>
  <si>
    <t>FB0310</t>
  </si>
  <si>
    <t>2025-07-21</t>
  </si>
  <si>
    <t>FB0311</t>
  </si>
  <si>
    <t>FB0312</t>
  </si>
  <si>
    <t>FB0313</t>
  </si>
  <si>
    <t>FB0314</t>
  </si>
  <si>
    <t>FB0315</t>
  </si>
  <si>
    <t>FB0316</t>
  </si>
  <si>
    <t>FB0317</t>
  </si>
  <si>
    <t>FB0318</t>
  </si>
  <si>
    <t>2025-01-19</t>
  </si>
  <si>
    <t>FB0319</t>
  </si>
  <si>
    <t>FB0320</t>
  </si>
  <si>
    <t>FB0321</t>
  </si>
  <si>
    <t>FB0322</t>
  </si>
  <si>
    <t>FB0323</t>
  </si>
  <si>
    <t>FB0324</t>
  </si>
  <si>
    <t>FB0325</t>
  </si>
  <si>
    <t>FB0326</t>
  </si>
  <si>
    <t>FB0327</t>
  </si>
  <si>
    <t>FB0328</t>
  </si>
  <si>
    <t>FB0329</t>
  </si>
  <si>
    <t>FB0330</t>
  </si>
  <si>
    <t>FB0331</t>
  </si>
  <si>
    <t>FB0332</t>
  </si>
  <si>
    <t>2025-03-11</t>
  </si>
  <si>
    <t>FB0333</t>
  </si>
  <si>
    <t>FB0334</t>
  </si>
  <si>
    <t>FB0335</t>
  </si>
  <si>
    <t>FB0336</t>
  </si>
  <si>
    <t>FB0337</t>
  </si>
  <si>
    <t>FB0338</t>
  </si>
  <si>
    <t>FB0339</t>
  </si>
  <si>
    <t>FB0340</t>
  </si>
  <si>
    <t>FB0341</t>
  </si>
  <si>
    <t>FB0342</t>
  </si>
  <si>
    <t>FB0343</t>
  </si>
  <si>
    <t>FB0344</t>
  </si>
  <si>
    <t>FB0345</t>
  </si>
  <si>
    <t>FB0346</t>
  </si>
  <si>
    <t>FB0347</t>
  </si>
  <si>
    <t>FB0348</t>
  </si>
  <si>
    <t>FB0349</t>
  </si>
  <si>
    <t>2025-03-12</t>
  </si>
  <si>
    <t>FB0350</t>
  </si>
  <si>
    <t>FB0351</t>
  </si>
  <si>
    <t>FB0352</t>
  </si>
  <si>
    <t>FB0353</t>
  </si>
  <si>
    <t>FB0354</t>
  </si>
  <si>
    <t>FB0355</t>
  </si>
  <si>
    <t>FB0356</t>
  </si>
  <si>
    <t>2025-11-28</t>
  </si>
  <si>
    <t>FB0357</t>
  </si>
  <si>
    <t>FB0358</t>
  </si>
  <si>
    <t>FB0359</t>
  </si>
  <si>
    <t>FB0360</t>
  </si>
  <si>
    <t>FB0361</t>
  </si>
  <si>
    <t>FB0362</t>
  </si>
  <si>
    <t>FB0363</t>
  </si>
  <si>
    <t>FB0364</t>
  </si>
  <si>
    <t>FB0365</t>
  </si>
  <si>
    <t>FB0366</t>
  </si>
  <si>
    <t>FB0367</t>
  </si>
  <si>
    <t>FB0368</t>
  </si>
  <si>
    <t>FB0369</t>
  </si>
  <si>
    <t>FB0370</t>
  </si>
  <si>
    <t>FB0371</t>
  </si>
  <si>
    <t>FB0372</t>
  </si>
  <si>
    <t>FB0373</t>
  </si>
  <si>
    <t>FB0374</t>
  </si>
  <si>
    <t>2025-03-15</t>
  </si>
  <si>
    <t>FB0375</t>
  </si>
  <si>
    <t>2025-11-13</t>
  </si>
  <si>
    <t>FB0376</t>
  </si>
  <si>
    <t>2025-10-22</t>
  </si>
  <si>
    <t>FB0377</t>
  </si>
  <si>
    <t>2026-05-13</t>
  </si>
  <si>
    <t>FB0378</t>
  </si>
  <si>
    <t>FB0379</t>
  </si>
  <si>
    <t>FB0380</t>
  </si>
  <si>
    <t>FB0381</t>
  </si>
  <si>
    <t>FB0382</t>
  </si>
  <si>
    <t>2025-11-26</t>
  </si>
  <si>
    <t>FB0383</t>
  </si>
  <si>
    <t>FB0384</t>
  </si>
  <si>
    <t>FB0385</t>
  </si>
  <si>
    <t>FB0386</t>
  </si>
  <si>
    <t>FB0387</t>
  </si>
  <si>
    <t>FB0388</t>
  </si>
  <si>
    <t>FB0389</t>
  </si>
  <si>
    <t>FB0390</t>
  </si>
  <si>
    <t>FB0391</t>
  </si>
  <si>
    <t>FB0392</t>
  </si>
  <si>
    <t>FB0393</t>
  </si>
  <si>
    <t>FB0394</t>
  </si>
  <si>
    <t>FB0395</t>
  </si>
  <si>
    <t>FB0396</t>
  </si>
  <si>
    <t>FB0397</t>
  </si>
  <si>
    <t>FB0398</t>
  </si>
  <si>
    <t>FB0399</t>
  </si>
  <si>
    <t>2026-02-14</t>
  </si>
  <si>
    <t>FB0400</t>
  </si>
  <si>
    <t>FB0401</t>
  </si>
  <si>
    <t>FB0402</t>
  </si>
  <si>
    <t>FB0403</t>
  </si>
  <si>
    <t>FB0404</t>
  </si>
  <si>
    <t>FB0405</t>
  </si>
  <si>
    <t>FB0406</t>
  </si>
  <si>
    <t>FB0407</t>
  </si>
  <si>
    <t>FB0408</t>
  </si>
  <si>
    <t>FB0409</t>
  </si>
  <si>
    <t>FB0410</t>
  </si>
  <si>
    <t>FB0411</t>
  </si>
  <si>
    <t>2026-04-20</t>
  </si>
  <si>
    <t>FB0412</t>
  </si>
  <si>
    <t>FB0413</t>
  </si>
  <si>
    <t>FB0414</t>
  </si>
  <si>
    <t>FB0415</t>
  </si>
  <si>
    <t>FB0416</t>
  </si>
  <si>
    <t>FB0417</t>
  </si>
  <si>
    <t>FB0418</t>
  </si>
  <si>
    <t>FB0419</t>
  </si>
  <si>
    <t>FB0420</t>
  </si>
  <si>
    <t>FB0421</t>
  </si>
  <si>
    <t>FB0422</t>
  </si>
  <si>
    <t>FB0423</t>
  </si>
  <si>
    <t>FB0424</t>
  </si>
  <si>
    <t>FB0425</t>
  </si>
  <si>
    <t>FB0426</t>
  </si>
  <si>
    <t>FB0427</t>
  </si>
  <si>
    <t>FB0428</t>
  </si>
  <si>
    <t>FB0429</t>
  </si>
  <si>
    <t>FB0430</t>
  </si>
  <si>
    <t>FB0431</t>
  </si>
  <si>
    <t>FB0432</t>
  </si>
  <si>
    <t>FB0433</t>
  </si>
  <si>
    <t>FB0434</t>
  </si>
  <si>
    <t>FB0435</t>
  </si>
  <si>
    <t>FB0436</t>
  </si>
  <si>
    <t>FB0437</t>
  </si>
  <si>
    <t>FB0438</t>
  </si>
  <si>
    <t>2025-01-11</t>
  </si>
  <si>
    <t>FB0439</t>
  </si>
  <si>
    <t>FB0440</t>
  </si>
  <si>
    <t>FB0441</t>
  </si>
  <si>
    <t>FB0442</t>
  </si>
  <si>
    <t>2025-03-01</t>
  </si>
  <si>
    <t>FB0443</t>
  </si>
  <si>
    <t>FB0444</t>
  </si>
  <si>
    <t>2025-09-22</t>
  </si>
  <si>
    <t>FB0445</t>
  </si>
  <si>
    <t>FB0446</t>
  </si>
  <si>
    <t>FB0447</t>
  </si>
  <si>
    <t>FB0448</t>
  </si>
  <si>
    <t>FB0449</t>
  </si>
  <si>
    <t>FB0450</t>
  </si>
  <si>
    <t>FB0451</t>
  </si>
  <si>
    <t>FB0452</t>
  </si>
  <si>
    <t>FB0453</t>
  </si>
  <si>
    <t>FB0454</t>
  </si>
  <si>
    <t>FB0455</t>
  </si>
  <si>
    <t>FB0456</t>
  </si>
  <si>
    <t>FB0457</t>
  </si>
  <si>
    <t>FB0458</t>
  </si>
  <si>
    <t>FB0459</t>
  </si>
  <si>
    <t>FB0460</t>
  </si>
  <si>
    <t>FB0461</t>
  </si>
  <si>
    <t>FB0462</t>
  </si>
  <si>
    <t>FB0463</t>
  </si>
  <si>
    <t>FB0464</t>
  </si>
  <si>
    <t>FB0465</t>
  </si>
  <si>
    <t>FB0466</t>
  </si>
  <si>
    <t>FB0467</t>
  </si>
  <si>
    <t>FB0468</t>
  </si>
  <si>
    <t>FB0469</t>
  </si>
  <si>
    <t>FB0470</t>
  </si>
  <si>
    <t>2025-06-27</t>
  </si>
  <si>
    <t>FB0471</t>
  </si>
  <si>
    <t>FB0472</t>
  </si>
  <si>
    <t>FB0473</t>
  </si>
  <si>
    <t>FB0474</t>
  </si>
  <si>
    <t>FB0475</t>
  </si>
  <si>
    <t>FB0476</t>
  </si>
  <si>
    <t>FB0477</t>
  </si>
  <si>
    <t>FB0478</t>
  </si>
  <si>
    <t>FB0479</t>
  </si>
  <si>
    <t>FB0480</t>
  </si>
  <si>
    <t>FB0481</t>
  </si>
  <si>
    <t>FB0482</t>
  </si>
  <si>
    <t>FB0483</t>
  </si>
  <si>
    <t>FB0484</t>
  </si>
  <si>
    <t>2026-01-13</t>
  </si>
  <si>
    <t>FB0485</t>
  </si>
  <si>
    <t>FB0486</t>
  </si>
  <si>
    <t>FB0487</t>
  </si>
  <si>
    <t>FB0488</t>
  </si>
  <si>
    <t>FB0489</t>
  </si>
  <si>
    <t>FB0490</t>
  </si>
  <si>
    <t>FB0491</t>
  </si>
  <si>
    <t>2025-08-19</t>
  </si>
  <si>
    <t>FB0492</t>
  </si>
  <si>
    <t>FB0493</t>
  </si>
  <si>
    <t>FB0494</t>
  </si>
  <si>
    <t>FB0495</t>
  </si>
  <si>
    <t>2025-08-10</t>
  </si>
  <si>
    <t>FB0496</t>
  </si>
  <si>
    <t>FB0497</t>
  </si>
  <si>
    <t>FB0498</t>
  </si>
  <si>
    <t>FB0499</t>
  </si>
  <si>
    <t>FB0500</t>
  </si>
  <si>
    <t>Sales_ID</t>
  </si>
  <si>
    <t>Sales_Amount</t>
  </si>
  <si>
    <t>Deals_Closed</t>
  </si>
  <si>
    <t>Lost_Deals</t>
  </si>
  <si>
    <t>Month</t>
  </si>
  <si>
    <t>S0001</t>
  </si>
  <si>
    <t>2025-10</t>
  </si>
  <si>
    <t>S0002</t>
  </si>
  <si>
    <t>S0003</t>
  </si>
  <si>
    <t>2025-11</t>
  </si>
  <si>
    <t>S0004</t>
  </si>
  <si>
    <t>S0005</t>
  </si>
  <si>
    <t>2026-01</t>
  </si>
  <si>
    <t>S0006</t>
  </si>
  <si>
    <t>2026-04</t>
  </si>
  <si>
    <t>S0007</t>
  </si>
  <si>
    <t>S0008</t>
  </si>
  <si>
    <t>2026-05</t>
  </si>
  <si>
    <t>S0009</t>
  </si>
  <si>
    <t>2025-01</t>
  </si>
  <si>
    <t>S0010</t>
  </si>
  <si>
    <t>S0011</t>
  </si>
  <si>
    <t>S0012</t>
  </si>
  <si>
    <t>2026-03</t>
  </si>
  <si>
    <t>S0013</t>
  </si>
  <si>
    <t>2025-03</t>
  </si>
  <si>
    <t>S0014</t>
  </si>
  <si>
    <t>S0015</t>
  </si>
  <si>
    <t>2025-09</t>
  </si>
  <si>
    <t>S0016</t>
  </si>
  <si>
    <t>2026-02</t>
  </si>
  <si>
    <t>S0017</t>
  </si>
  <si>
    <t>2025-05</t>
  </si>
  <si>
    <t>S0018</t>
  </si>
  <si>
    <t>2025-04</t>
  </si>
  <si>
    <t>S0019</t>
  </si>
  <si>
    <t>S0020</t>
  </si>
  <si>
    <t>2025-07</t>
  </si>
  <si>
    <t>S0021</t>
  </si>
  <si>
    <t>2025-12</t>
  </si>
  <si>
    <t>S0022</t>
  </si>
  <si>
    <t>S0023</t>
  </si>
  <si>
    <t>S0024</t>
  </si>
  <si>
    <t>S0025</t>
  </si>
  <si>
    <t>S0026</t>
  </si>
  <si>
    <t>S0027</t>
  </si>
  <si>
    <t>S0028</t>
  </si>
  <si>
    <t>S0029</t>
  </si>
  <si>
    <t>S0030</t>
  </si>
  <si>
    <t>2025-02</t>
  </si>
  <si>
    <t>S0031</t>
  </si>
  <si>
    <t>S0032</t>
  </si>
  <si>
    <t>S0033</t>
  </si>
  <si>
    <t>S0034</t>
  </si>
  <si>
    <t>S0035</t>
  </si>
  <si>
    <t>S0036</t>
  </si>
  <si>
    <t>S0037</t>
  </si>
  <si>
    <t>S0038</t>
  </si>
  <si>
    <t>S0039</t>
  </si>
  <si>
    <t>2025-06</t>
  </si>
  <si>
    <t>S0040</t>
  </si>
  <si>
    <t>S0041</t>
  </si>
  <si>
    <t>S0042</t>
  </si>
  <si>
    <t>S0043</t>
  </si>
  <si>
    <t>S0044</t>
  </si>
  <si>
    <t>S0045</t>
  </si>
  <si>
    <t>S0046</t>
  </si>
  <si>
    <t>S0047</t>
  </si>
  <si>
    <t>S0048</t>
  </si>
  <si>
    <t>S0049</t>
  </si>
  <si>
    <t>S0050</t>
  </si>
  <si>
    <t>S0051</t>
  </si>
  <si>
    <t>S0052</t>
  </si>
  <si>
    <t>2025-08</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</si>
  <si>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</si>
  <si>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</si>
  <si>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</si>
  <si>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</si>
  <si>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</si>
  <si>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</si>
  <si>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</si>
  <si>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</si>
  <si>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</si>
  <si>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</si>
  <si>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</si>
  <si>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</si>
  <si>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</si>
  <si>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</si>
  <si>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</si>
  <si>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</si>
  <si>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</si>
  <si>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</si>
  <si>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</si>
  <si>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</si>
  <si>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</si>
  <si>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</si>
  <si>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</si>
  <si>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</si>
  <si>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</si>
  <si>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</si>
  <si>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</si>
  <si>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</si>
  <si>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</si>
  <si>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</si>
  <si>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</si>
  <si>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</si>
  <si>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</si>
  <si>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</si>
  <si>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</si>
  <si>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</si>
  <si>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</si>
  <si>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</si>
  <si>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</si>
  <si>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</si>
  <si>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</si>
  <si>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</si>
  <si>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</si>
  <si>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</si>
  <si>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</si>
  <si>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</si>
  <si>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</si>
  <si>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</si>
  <si>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</si>
  <si>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</si>
  <si>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</si>
  <si>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</si>
  <si>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</si>
  <si>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</si>
  <si>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</si>
  <si>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</si>
  <si>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</si>
  <si>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</si>
  <si>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</si>
  <si>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</si>
  <si>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</si>
  <si>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</si>
  <si>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</si>
  <si>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</si>
  <si>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</si>
  <si>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</si>
  <si>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</si>
  <si>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</si>
  <si>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</si>
  <si>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</si>
  <si>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</si>
  <si>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</si>
  <si>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</si>
  <si>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</si>
  <si>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</si>
  <si>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</si>
  <si>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</si>
  <si>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</si>
  <si>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</si>
  <si>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</si>
  <si>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</si>
  <si>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</si>
  <si>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</si>
  <si>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</si>
  <si>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</si>
  <si>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</si>
  <si>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</si>
  <si>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</si>
  <si>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</si>
  <si>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</si>
  <si>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</si>
  <si>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</si>
  <si>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</si>
  <si>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</si>
  <si>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</si>
  <si>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</si>
  <si>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</si>
  <si>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</si>
  <si>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</si>
  <si>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</si>
  <si>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</si>
  <si>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</si>
  <si>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</si>
  <si>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</si>
  <si>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</si>
  <si>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</si>
  <si>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</si>
  <si>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</si>
  <si>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</si>
  <si>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</si>
  <si>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</si>
  <si>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</si>
  <si>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</si>
  <si>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</si>
  <si>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</si>
  <si>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</si>
  <si>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</si>
  <si>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</si>
  <si>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</si>
  <si>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</si>
  <si>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</si>
  <si>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</si>
  <si>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</si>
  <si>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</si>
  <si>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</si>
  <si>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</si>
  <si>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</si>
  <si>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</si>
  <si>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</si>
  <si>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</si>
  <si>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</si>
  <si>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</si>
  <si>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</si>
  <si>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</si>
  <si>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</si>
  <si>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</si>
  <si>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</si>
  <si>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</si>
  <si>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</si>
  <si>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</si>
  <si>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</si>
  <si>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</si>
  <si>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</si>
  <si>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</si>
  <si>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</si>
  <si>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</si>
  <si>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</si>
  <si>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</si>
  <si>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</si>
  <si>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</si>
  <si>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</si>
  <si>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</si>
  <si>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</si>
  <si>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</si>
  <si>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</si>
  <si>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</si>
  <si>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</si>
  <si>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</si>
  <si>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</si>
  <si>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</si>
  <si>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</si>
  <si>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</si>
  <si>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</si>
  <si>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</si>
  <si>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</si>
  <si>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</si>
  <si>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</si>
  <si>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</si>
  <si>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</si>
  <si>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</si>
  <si>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</si>
  <si>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</si>
  <si>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</si>
  <si>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</si>
  <si>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</si>
  <si>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</si>
  <si>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</si>
  <si>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</si>
  <si>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</si>
  <si>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</si>
  <si>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</si>
  <si>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</si>
  <si>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</si>
  <si>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</si>
  <si>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</si>
  <si>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</si>
  <si>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</si>
  <si>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</si>
  <si>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</si>
  <si>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</si>
  <si>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</si>
  <si>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</si>
  <si>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</si>
  <si>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</si>
  <si>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</si>
  <si>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</si>
  <si>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</si>
  <si>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</si>
  <si>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</si>
  <si>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</si>
  <si>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</si>
  <si>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</si>
  <si>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</si>
  <si>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</si>
  <si>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</si>
  <si>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</si>
  <si>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</si>
  <si>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</si>
  <si>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</si>
  <si>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</si>
  <si>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</si>
  <si>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</si>
  <si>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</si>
  <si>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</si>
  <si>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</si>
  <si>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</si>
  <si>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</si>
  <si>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</si>
  <si>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</si>
  <si>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</si>
  <si>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</si>
  <si>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</si>
  <si>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</si>
  <si>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</si>
  <si>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</si>
  <si>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</si>
  <si>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</si>
  <si>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</si>
  <si>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</si>
  <si>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</si>
  <si>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</si>
  <si>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</si>
  <si>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</si>
  <si>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</si>
  <si>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</si>
  <si>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</si>
  <si>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</si>
  <si>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</si>
  <si>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</si>
  <si>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</si>
  <si>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</si>
  <si>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</si>
  <si>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</si>
  <si>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</si>
  <si>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</si>
  <si>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</si>
  <si>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</si>
  <si>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</si>
  <si>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Campaign_ID</t>
  </si>
  <si>
    <t>Campaign_Name</t>
  </si>
  <si>
    <t>Budget</t>
  </si>
  <si>
    <t>Leads_Generated</t>
  </si>
  <si>
    <t>Conversions</t>
  </si>
  <si>
    <t>Conversion_Rate</t>
  </si>
  <si>
    <t>CMP001</t>
  </si>
  <si>
    <t>Digital Ads</t>
  </si>
  <si>
    <t>CMP002</t>
  </si>
  <si>
    <t>CMP003</t>
  </si>
  <si>
    <t>OEM Outreach</t>
  </si>
  <si>
    <t>CMP004</t>
  </si>
  <si>
    <t>CMP005</t>
  </si>
  <si>
    <t>Referral Drive</t>
  </si>
  <si>
    <t>CMP006</t>
  </si>
  <si>
    <t>CMP007</t>
  </si>
  <si>
    <t>Summer Campaign</t>
  </si>
  <si>
    <t>CMP008</t>
  </si>
  <si>
    <t>CMP009</t>
  </si>
  <si>
    <t>CMP010</t>
  </si>
  <si>
    <t>CMP011</t>
  </si>
  <si>
    <t>CMP012</t>
  </si>
  <si>
    <t>WhatsApp Campaign</t>
  </si>
  <si>
    <t>CMP013</t>
  </si>
  <si>
    <t>CMP014</t>
  </si>
  <si>
    <t>CMP015</t>
  </si>
  <si>
    <t>CMP016</t>
  </si>
  <si>
    <t>CMP017</t>
  </si>
  <si>
    <t>CMP018</t>
  </si>
  <si>
    <t>CMP019</t>
  </si>
  <si>
    <t>CMP020</t>
  </si>
  <si>
    <t>CMP021</t>
  </si>
  <si>
    <t>CMP022</t>
  </si>
  <si>
    <t>CMP023</t>
  </si>
  <si>
    <t>CMP024</t>
  </si>
  <si>
    <t>CMP025</t>
  </si>
  <si>
    <t>CMP026</t>
  </si>
  <si>
    <t>CMP027</t>
  </si>
  <si>
    <t>CMP028</t>
  </si>
  <si>
    <t>CMP029</t>
  </si>
  <si>
    <t>CMP030</t>
  </si>
  <si>
    <t>CMP031</t>
  </si>
  <si>
    <t>CMP032</t>
  </si>
  <si>
    <t>CMP033</t>
  </si>
  <si>
    <t>CMP034</t>
  </si>
  <si>
    <t>CMP035</t>
  </si>
  <si>
    <t>CMP036</t>
  </si>
  <si>
    <t>CMP037</t>
  </si>
  <si>
    <t>CMP038</t>
  </si>
  <si>
    <t>CMP039</t>
  </si>
  <si>
    <t>CMP040</t>
  </si>
  <si>
    <t>CMP041</t>
  </si>
  <si>
    <t>CMP042</t>
  </si>
  <si>
    <t>CMP043</t>
  </si>
  <si>
    <t>CMP044</t>
  </si>
  <si>
    <t>CMP045</t>
  </si>
  <si>
    <t>CMP046</t>
  </si>
  <si>
    <t>CMP047</t>
  </si>
  <si>
    <t>CMP048</t>
  </si>
  <si>
    <t>CMP049</t>
  </si>
  <si>
    <t>CMP050</t>
  </si>
  <si>
    <t>CMP051</t>
  </si>
  <si>
    <t>CMP052</t>
  </si>
  <si>
    <t>CMP053</t>
  </si>
  <si>
    <t>CMP054</t>
  </si>
  <si>
    <t>CMP055</t>
  </si>
  <si>
    <t>CMP056</t>
  </si>
  <si>
    <t>CMP057</t>
  </si>
  <si>
    <t>CMP058</t>
  </si>
  <si>
    <t>CMP059</t>
  </si>
  <si>
    <t>CMP060</t>
  </si>
  <si>
    <t>CMP061</t>
  </si>
  <si>
    <t>CMP062</t>
  </si>
  <si>
    <t>CMP063</t>
  </si>
  <si>
    <t>CMP064</t>
  </si>
  <si>
    <t>CMP065</t>
  </si>
  <si>
    <t>CMP066</t>
  </si>
  <si>
    <t>CMP067</t>
  </si>
  <si>
    <t>CMP068</t>
  </si>
  <si>
    <t>CMP069</t>
  </si>
  <si>
    <t>CMP070</t>
  </si>
  <si>
    <t>CMP071</t>
  </si>
  <si>
    <t>CMP072</t>
  </si>
  <si>
    <t>CMP073</t>
  </si>
  <si>
    <t>CMP074</t>
  </si>
  <si>
    <t>CMP075</t>
  </si>
  <si>
    <t>CMP076</t>
  </si>
  <si>
    <t>CMP077</t>
  </si>
  <si>
    <t>CMP078</t>
  </si>
  <si>
    <t>CMP079</t>
  </si>
  <si>
    <t>CMP080</t>
  </si>
  <si>
    <t>CMP081</t>
  </si>
  <si>
    <t>CMP082</t>
  </si>
  <si>
    <t>CMP083</t>
  </si>
  <si>
    <t>CMP084</t>
  </si>
  <si>
    <t>CMP085</t>
  </si>
  <si>
    <t>CMP086</t>
  </si>
  <si>
    <t>CMP087</t>
  </si>
  <si>
    <t>CMP088</t>
  </si>
  <si>
    <t>CMP089</t>
  </si>
  <si>
    <t>CMP090</t>
  </si>
  <si>
    <t>CMP091</t>
  </si>
  <si>
    <t>CMP092</t>
  </si>
  <si>
    <t>CMP093</t>
  </si>
  <si>
    <t>CMP094</t>
  </si>
  <si>
    <t>CMP095</t>
  </si>
  <si>
    <t>CMP096</t>
  </si>
  <si>
    <t>CMP097</t>
  </si>
  <si>
    <t>CMP098</t>
  </si>
  <si>
    <t>CMP099</t>
  </si>
  <si>
    <t>CMP100</t>
  </si>
  <si>
    <t>KPI</t>
  </si>
  <si>
    <t>Lead Conversion Rate</t>
  </si>
  <si>
    <t>Customer Satisfaction Score</t>
  </si>
  <si>
    <t>Count of Lead_ID</t>
  </si>
  <si>
    <t>Grand Total</t>
  </si>
  <si>
    <t>Sum of Revenue</t>
  </si>
  <si>
    <t>Count of Feedback_ID</t>
  </si>
  <si>
    <t>Sum of Leads_Generated</t>
  </si>
  <si>
    <t>Sum of Conversions</t>
  </si>
  <si>
    <t>CRM &amp; VOC Analytics Dashboard</t>
  </si>
  <si>
    <t>Rs.3,88,55,248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</si>
</sst>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5">
    <font>
      <sz val="11"/>
      <color theme="1"/>
      <name val="Calibri"/>
      <family val="2"/>
      <scheme val="minor"/>
    </font>
    <font>
      <b/>
      <sz val="11"/>
      <name val="Calibri"/>
    </font>
    <font>
      <b/>
      <sz val="16"/>
      <color rgb="FFFFFFFF"/>
      <name val="Calibri"/>
      <family val="2"/>
      <scheme val="minor"/>
    </font>
    <font>
      <sz val="16"/>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rgb="FF002060"/>
        <bgColor indexed="64"/>
      </patternFill>
    </fill>
  </fills>
  <borders count="1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23">
    <xf numFmtId="0" fontId="0" fillId="0" borderId="0" xfId="0"/>
    <xf numFmtId="0" fontId="1" fillId="0" borderId="0" xfId="0" applyFont="1"/>
    <xf numFmtId="0" fontId="0" fillId="0" borderId="0" xfId="0" pivotButton="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3" xfId="0" applyBorder="1"/>
    <xf numFmtId="0" fontId="4" fillId="0" borderId="1" xfId="0" applyFont="1" applyBorder="1" applyAlignment="1">
      <alignment vertical="center"/>
    </xf>
    <xf numFmtId="0" fontId="4" fillId="0" borderId="2" xfId="0" applyFont="1" applyBorder="1" applyAlignment="1">
      <alignment vertical="center"/>
    </xf>
    <xf numFmtId="0" fontId="4" fillId="0" borderId="2" xfId="0" applyFont="1" applyBorder="1"/>
    <xf numFmtId="0" fontId="3" fillId="0" borderId="2" xfId="0" applyFont="1" applyBorder="1"/>
    <xf numFmtId="0" fontId="4" fillId="0" borderId="6" xfId="0" applyFont="1" applyBorder="1" applyAlignment="1">
      <alignment vertical="center"/>
    </xf>
    <xf numFmtId="0" fontId="4" fillId="0" borderId="7" xfId="0" applyFont="1" applyBorder="1" applyAlignment="1">
      <alignment vertical="center"/>
    </xf>
    <xf numFmtId="0" fontId="4" fillId="0" borderId="7" xfId="0" applyFont="1" applyBorder="1"/>
    <xf numFmtId="10" fontId="4" fillId="0" borderId="7" xfId="0" applyNumberFormat="1" applyFont="1" applyBorder="1"/>
    <xf numFmtId="164" fontId="4" fillId="0" borderId="7" xfId="0" applyNumberFormat="1" applyFont="1" applyBorder="1"/>
    <xf numFmtId="0" fontId="3" fillId="0" borderId="7" xfId="0" applyFont="1" applyBorder="1"/>
    <xf numFmtId="0" fontId="0" fillId="0" borderId="0" xfId="0" applyNumberFormat="1"/>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cellXfs>
  <cellStyles count="1">
    <cellStyle name="Normal" xfId="0" builtinId="0"/>
  </cellStyles>
  <dxfs count="4">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
      <font>
        <b/>
        <i val="0"/>
        <strike val="0"/>
        <condense val="0"/>
        <extend val="0"/>
        <outline val="0"/>
        <shadow val="0"/>
        <u val="none"/>
        <vertAlign val="baseline"/>
        <sz val="11"/>
        <color auto="1"/>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Pivot_Tables!$A$2:$A$8</c:f>
              <c:strCache>
                <c:ptCount val="6"/>
                <c:pt idx="0">
                  <c:v>Cold Call</c:v>
                </c:pt>
                <c:pt idx="1">
                  <c:v>Email Campaign</c:v>
                </c:pt>
                <c:pt idx="2">
                  <c:v>LinkedIn</c:v>
                </c:pt>
                <c:pt idx="3">
                  <c:v>Referral</c:v>
                </c:pt>
                <c:pt idx="4">
                  <c:v>Trade Show</c:v>
                </c:pt>
                <c:pt idx="5">
                  <c:v>Website</c:v>
                </c:pt>
              </c:strCache>
            </c:strRef>
          </c:cat>
          <c:val>
            <c:numRef>
              <c:f>Pivot_Tables!$B$2:$B$8</c:f>
              <c:numCache>
                <c:formatCode>General</c:formatCode>
                <c:ptCount val="6"/>
                <c:pt idx="0">
                  <c:v>159</c:v>
                </c:pt>
                <c:pt idx="1">
                  <c:v>168</c:v>
                </c:pt>
                <c:pt idx="2">
                  <c:v>175</c:v>
                </c:pt>
                <c:pt idx="3">
                  <c:v>194</c:v>
                </c:pt>
                <c:pt idx="4">
                  <c:v>154</c:v>
                </c:pt>
                <c:pt idx="5">
                  <c:v>150</c:v>
                </c:pt>
              </c:numCache>
            </c:numRef>
          </c:val>
          <c:extLst>
            <c:ext xmlns:c16="http://schemas.microsoft.com/office/drawing/2014/chart" uri="{C3380CC4-5D6E-409C-BE32-E72D297353CC}">
              <c16:uniqueId val="{00000000-64B3-4B39-93A6-E5826EC97D81}"/>
            </c:ext>
          </c:extLst>
        </c:ser>
        <c:dLbls>
          <c:dLblPos val="outEnd"/>
          <c:showLegendKey val="0"/>
          <c:showVal val="1"/>
          <c:showCatName val="0"/>
          <c:showSerName val="0"/>
          <c:showPercent val="0"/>
          <c:showBubbleSize val="0"/>
        </c:dLbls>
        <c:gapWidth val="219"/>
        <c:overlap val="-27"/>
        <c:axId val="1803014152"/>
        <c:axId val="1803016200"/>
      </c:barChart>
      <c:catAx>
        <c:axId val="180301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16200"/>
        <c:crosses val="autoZero"/>
        <c:auto val="1"/>
        <c:lblAlgn val="ctr"/>
        <c:lblOffset val="100"/>
        <c:noMultiLvlLbl val="0"/>
      </c:catAx>
      <c:valAx>
        <c:axId val="1803016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1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Pivot_Tables!$A$26:$A$31</c:f>
              <c:strCache>
                <c:ptCount val="5"/>
                <c:pt idx="0">
                  <c:v>Bangalore</c:v>
                </c:pt>
                <c:pt idx="1">
                  <c:v>Chennai</c:v>
                </c:pt>
                <c:pt idx="2">
                  <c:v>Hyderabad</c:v>
                </c:pt>
                <c:pt idx="3">
                  <c:v>Mumbai</c:v>
                </c:pt>
                <c:pt idx="4">
                  <c:v>Vizag</c:v>
                </c:pt>
              </c:strCache>
            </c:strRef>
          </c:cat>
          <c:val>
            <c:numRef>
              <c:f>Pivot_Tables!$B$26:$B$31</c:f>
              <c:numCache>
                <c:formatCode>General</c:formatCode>
                <c:ptCount val="5"/>
                <c:pt idx="0">
                  <c:v>6930449</c:v>
                </c:pt>
                <c:pt idx="1">
                  <c:v>5723674</c:v>
                </c:pt>
                <c:pt idx="2">
                  <c:v>8121121</c:v>
                </c:pt>
                <c:pt idx="3">
                  <c:v>9353424</c:v>
                </c:pt>
                <c:pt idx="4">
                  <c:v>8726580</c:v>
                </c:pt>
              </c:numCache>
            </c:numRef>
          </c:val>
          <c:extLst>
            <c:ext xmlns:c16="http://schemas.microsoft.com/office/drawing/2014/chart" uri="{C3380CC4-5D6E-409C-BE32-E72D297353CC}">
              <c16:uniqueId val="{00000000-B5BD-4D73-B7EB-A172A3207F3A}"/>
            </c:ext>
          </c:extLst>
        </c:ser>
        <c:dLbls>
          <c:dLblPos val="outEnd"/>
          <c:showLegendKey val="0"/>
          <c:showVal val="1"/>
          <c:showCatName val="0"/>
          <c:showSerName val="0"/>
          <c:showPercent val="0"/>
          <c:showBubbleSize val="0"/>
        </c:dLbls>
        <c:gapWidth val="219"/>
        <c:overlap val="-27"/>
        <c:axId val="1832321032"/>
        <c:axId val="1832323080"/>
      </c:barChart>
      <c:catAx>
        <c:axId val="183232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23080"/>
        <c:crosses val="autoZero"/>
        <c:auto val="1"/>
        <c:lblAlgn val="ctr"/>
        <c:lblOffset val="100"/>
        <c:noMultiLvlLbl val="0"/>
      </c:catAx>
      <c:valAx>
        <c:axId val="183232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21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Pivot_Tables!$A$36:$A$41</c:f>
              <c:strCache>
                <c:ptCount val="5"/>
                <c:pt idx="0">
                  <c:v>Ravi</c:v>
                </c:pt>
                <c:pt idx="1">
                  <c:v>Anjali</c:v>
                </c:pt>
                <c:pt idx="2">
                  <c:v>Kiran</c:v>
                </c:pt>
                <c:pt idx="3">
                  <c:v>Priya</c:v>
                </c:pt>
                <c:pt idx="4">
                  <c:v>Suresh</c:v>
                </c:pt>
              </c:strCache>
            </c:strRef>
          </c:cat>
          <c:val>
            <c:numRef>
              <c:f>Pivot_Tables!$B$36:$B$41</c:f>
              <c:numCache>
                <c:formatCode>General</c:formatCode>
                <c:ptCount val="5"/>
                <c:pt idx="0">
                  <c:v>10540399</c:v>
                </c:pt>
                <c:pt idx="1">
                  <c:v>8890595</c:v>
                </c:pt>
                <c:pt idx="2">
                  <c:v>7116870</c:v>
                </c:pt>
                <c:pt idx="3">
                  <c:v>6956635</c:v>
                </c:pt>
                <c:pt idx="4">
                  <c:v>5350749</c:v>
                </c:pt>
              </c:numCache>
            </c:numRef>
          </c:val>
          <c:extLst>
            <c:ext xmlns:c16="http://schemas.microsoft.com/office/drawing/2014/chart" uri="{C3380CC4-5D6E-409C-BE32-E72D297353CC}">
              <c16:uniqueId val="{00000000-D694-4B0E-B1A1-382AE95CAA3A}"/>
            </c:ext>
          </c:extLst>
        </c:ser>
        <c:dLbls>
          <c:dLblPos val="outEnd"/>
          <c:showLegendKey val="0"/>
          <c:showVal val="1"/>
          <c:showCatName val="0"/>
          <c:showSerName val="0"/>
          <c:showPercent val="0"/>
          <c:showBubbleSize val="0"/>
        </c:dLbls>
        <c:gapWidth val="150"/>
        <c:axId val="592725296"/>
        <c:axId val="592726016"/>
      </c:barChart>
      <c:catAx>
        <c:axId val="59272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26016"/>
        <c:crosses val="autoZero"/>
        <c:auto val="1"/>
        <c:lblAlgn val="ctr"/>
        <c:lblOffset val="100"/>
        <c:noMultiLvlLbl val="0"/>
      </c:catAx>
      <c:valAx>
        <c:axId val="59272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2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45-4A63-B2C9-27BB78AEE8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45-4A63-B2C9-27BB78AEE8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45-4A63-B2C9-27BB78AEE8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45-4A63-B2C9-27BB78AEE8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45-4A63-B2C9-27BB78AEE895}"/>
              </c:ext>
            </c:extLst>
          </c:dPt>
          <c:cat>
            <c:strRef>
              <c:f>Pivot_Tables!$A$48:$A$53</c:f>
              <c:strCache>
                <c:ptCount val="5"/>
                <c:pt idx="0">
                  <c:v>Delivery Delay</c:v>
                </c:pt>
                <c:pt idx="1">
                  <c:v>Excellent Service</c:v>
                </c:pt>
                <c:pt idx="2">
                  <c:v>Late Response</c:v>
                </c:pt>
                <c:pt idx="3">
                  <c:v>Pricing Concern</c:v>
                </c:pt>
                <c:pt idx="4">
                  <c:v>Product Quality</c:v>
                </c:pt>
              </c:strCache>
            </c:strRef>
          </c:cat>
          <c:val>
            <c:numRef>
              <c:f>Pivot_Tables!$B$48:$B$53</c:f>
              <c:numCache>
                <c:formatCode>General</c:formatCode>
                <c:ptCount val="5"/>
                <c:pt idx="0">
                  <c:v>98</c:v>
                </c:pt>
                <c:pt idx="1">
                  <c:v>97</c:v>
                </c:pt>
                <c:pt idx="2">
                  <c:v>96</c:v>
                </c:pt>
                <c:pt idx="3">
                  <c:v>98</c:v>
                </c:pt>
                <c:pt idx="4">
                  <c:v>111</c:v>
                </c:pt>
              </c:numCache>
            </c:numRef>
          </c:val>
          <c:extLst>
            <c:ext xmlns:c16="http://schemas.microsoft.com/office/drawing/2014/chart" uri="{C3380CC4-5D6E-409C-BE32-E72D297353CC}">
              <c16:uniqueId val="{00000000-A987-43B9-BA3A-255B6FE9484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Pivot_Tables!$B$60</c:f>
              <c:strCache>
                <c:ptCount val="1"/>
                <c:pt idx="0">
                  <c:v>Sum of Leads_Generated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Pivot_Tables!$A$61:$A$66</c:f>
              <c:strCache>
                <c:ptCount val="5"/>
                <c:pt idx="0">
                  <c:v>Digital Ads</c:v>
                </c:pt>
                <c:pt idx="1">
                  <c:v>OEM Outreach</c:v>
                </c:pt>
                <c:pt idx="2">
                  <c:v>Referral Drive</c:v>
                </c:pt>
                <c:pt idx="3">
                  <c:v>Summer Campaign</c:v>
                </c:pt>
                <c:pt idx="4">
                  <c:v>WhatsApp Campaign</c:v>
                </c:pt>
              </c:strCache>
            </c:strRef>
          </c:cat>
          <c:val>
            <c:numRef>
              <c:f>Pivot_Tables!$B$61:$B$66</c:f>
              <c:numCache>
                <c:formatCode>General</c:formatCode>
                <c:ptCount val="5"/>
                <c:pt idx="0">
                  <c:v>4600</c:v>
                </c:pt>
                <c:pt idx="1">
                  <c:v>5865</c:v>
                </c:pt>
                <c:pt idx="2">
                  <c:v>3876</c:v>
                </c:pt>
                <c:pt idx="3">
                  <c:v>6127</c:v>
                </c:pt>
                <c:pt idx="4">
                  <c:v>5195</c:v>
                </c:pt>
              </c:numCache>
            </c:numRef>
          </c:val>
          <c:extLst>
            <c:ext xmlns:c16="http://schemas.microsoft.com/office/drawing/2014/chart" uri="{C3380CC4-5D6E-409C-BE32-E72D297353CC}">
              <c16:uniqueId val="{00000000-05F1-452D-9124-508B216463FC}"/>
            </c:ext>
          </c:extLst>
        </c:ser>
        <c:ser>
          <c:idx val="1"/>
          <c:order val="1"/>
          <c:tx>
            <c:strRef>
              <c:f>Pivot_Tables!$C$60</c:f>
              <c:strCache>
                <c:ptCount val="1"/>
                <c:pt idx="0">
                  <c:v>Sum of Conversions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Pivot_Tables!$A$61:$A$66</c:f>
              <c:strCache>
                <c:ptCount val="5"/>
                <c:pt idx="0">
                  <c:v>Digital Ads</c:v>
                </c:pt>
                <c:pt idx="1">
                  <c:v>OEM Outreach</c:v>
                </c:pt>
                <c:pt idx="2">
                  <c:v>Referral Drive</c:v>
                </c:pt>
                <c:pt idx="3">
                  <c:v>Summer Campaign</c:v>
                </c:pt>
                <c:pt idx="4">
                  <c:v>WhatsApp Campaign</c:v>
                </c:pt>
              </c:strCache>
            </c:strRef>
          </c:cat>
          <c:val>
            <c:numRef>
              <c:f>Pivot_Tables!$C$61:$C$66</c:f>
              <c:numCache>
                <c:formatCode>General</c:formatCode>
                <c:ptCount val="5"/>
                <c:pt idx="0">
                  <c:v>1021</c:v>
                </c:pt>
                <c:pt idx="1">
                  <c:v>1292</c:v>
                </c:pt>
                <c:pt idx="2">
                  <c:v>881</c:v>
                </c:pt>
                <c:pt idx="3">
                  <c:v>1605</c:v>
                </c:pt>
                <c:pt idx="4">
                  <c:v>918</c:v>
                </c:pt>
              </c:numCache>
            </c:numRef>
          </c:val>
          <c:extLst>
            <c:ext xmlns:c16="http://schemas.microsoft.com/office/drawing/2014/chart" uri="{C3380CC4-5D6E-409C-BE32-E72D297353CC}">
              <c16:uniqueId val="{00000002-05F1-452D-9124-508B216463FC}"/>
            </c:ext>
          </c:extLst>
        </c:ser>
        <c:dLbls>
          <c:dLblPos val="outEnd"/>
          <c:showLegendKey val="0"/>
          <c:showVal val="1"/>
          <c:showCatName val="0"/>
          <c:showSerName val="0"/>
          <c:showPercent val="0"/>
          <c:showBubbleSize val="0"/>
        </c:dLbls>
        <c:gapWidth val="219"/>
        <c:overlap val="-27"/>
        <c:axId val="1897241607"/>
        <c:axId val="1917847047"/>
      </c:barChart>
      <c:catAx>
        <c:axId val="1897241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847047"/>
        <c:crosses val="autoZero"/>
        <c:auto val="1"/>
        <c:lblAlgn val="ctr"/>
        <c:lblOffset val="100"/>
        <c:noMultiLvlLbl val="0"/>
      </c:catAx>
      <c:valAx>
        <c:axId val="1917847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41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Leads by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Pivot_Tables!$A$2:$A$8</c:f>
              <c:strCache>
                <c:ptCount val="6"/>
                <c:pt idx="0">
                  <c:v>Cold Call</c:v>
                </c:pt>
                <c:pt idx="1">
                  <c:v>Email Campaign</c:v>
                </c:pt>
                <c:pt idx="2">
                  <c:v>LinkedIn</c:v>
                </c:pt>
                <c:pt idx="3">
                  <c:v>Referral</c:v>
                </c:pt>
                <c:pt idx="4">
                  <c:v>Trade Show</c:v>
                </c:pt>
                <c:pt idx="5">
                  <c:v>Website</c:v>
                </c:pt>
              </c:strCache>
            </c:strRef>
          </c:cat>
          <c:val>
            <c:numRef>
              <c:f>Pivot_Tables!$B$2:$B$8</c:f>
              <c:numCache>
                <c:formatCode>General</c:formatCode>
                <c:ptCount val="6"/>
                <c:pt idx="0">
                  <c:v>159</c:v>
                </c:pt>
                <c:pt idx="1">
                  <c:v>168</c:v>
                </c:pt>
                <c:pt idx="2">
                  <c:v>175</c:v>
                </c:pt>
                <c:pt idx="3">
                  <c:v>194</c:v>
                </c:pt>
                <c:pt idx="4">
                  <c:v>154</c:v>
                </c:pt>
                <c:pt idx="5">
                  <c:v>150</c:v>
                </c:pt>
              </c:numCache>
            </c:numRef>
          </c:val>
          <c:extLst>
            <c:ext xmlns:c16="http://schemas.microsoft.com/office/drawing/2014/chart" uri="{C3380CC4-5D6E-409C-BE32-E72D297353CC}">
              <c16:uniqueId val="{00000000-613F-4A99-9C25-7BB48BE037DC}"/>
            </c:ext>
          </c:extLst>
        </c:ser>
        <c:dLbls>
          <c:dLblPos val="outEnd"/>
          <c:showLegendKey val="0"/>
          <c:showVal val="1"/>
          <c:showCatName val="0"/>
          <c:showSerName val="0"/>
          <c:showPercent val="0"/>
          <c:showBubbleSize val="0"/>
        </c:dLbls>
        <c:gapWidth val="219"/>
        <c:overlap val="-27"/>
        <c:axId val="1803014152"/>
        <c:axId val="1803016200"/>
      </c:barChart>
      <c:catAx>
        <c:axId val="180301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16200"/>
        <c:crosses val="autoZero"/>
        <c:auto val="1"/>
        <c:lblAlgn val="ctr"/>
        <c:lblOffset val="100"/>
        <c:noMultiLvlLbl val="0"/>
      </c:catAx>
      <c:valAx>
        <c:axId val="1803016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014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Pivot_Tables!$B$25</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Pivot_Tables!$A$26:$A$31</c:f>
              <c:strCache>
                <c:ptCount val="5"/>
                <c:pt idx="0">
                  <c:v>Bangalore</c:v>
                </c:pt>
                <c:pt idx="1">
                  <c:v>Chennai</c:v>
                </c:pt>
                <c:pt idx="2">
                  <c:v>Hyderabad</c:v>
                </c:pt>
                <c:pt idx="3">
                  <c:v>Mumbai</c:v>
                </c:pt>
                <c:pt idx="4">
                  <c:v>Vizag</c:v>
                </c:pt>
              </c:strCache>
            </c:strRef>
          </c:cat>
          <c:val>
            <c:numRef>
              <c:f>Pivot_Tables!$B$26:$B$31</c:f>
              <c:numCache>
                <c:formatCode>General</c:formatCode>
                <c:ptCount val="5"/>
                <c:pt idx="0">
                  <c:v>6930449</c:v>
                </c:pt>
                <c:pt idx="1">
                  <c:v>5723674</c:v>
                </c:pt>
                <c:pt idx="2">
                  <c:v>8121121</c:v>
                </c:pt>
                <c:pt idx="3">
                  <c:v>9353424</c:v>
                </c:pt>
                <c:pt idx="4">
                  <c:v>8726580</c:v>
                </c:pt>
              </c:numCache>
            </c:numRef>
          </c:val>
          <c:extLst>
            <c:ext xmlns:c16="http://schemas.microsoft.com/office/drawing/2014/chart" uri="{C3380CC4-5D6E-409C-BE32-E72D297353CC}">
              <c16:uniqueId val="{00000000-2E14-45B1-81A9-3EF82F796DA3}"/>
            </c:ext>
          </c:extLst>
        </c:ser>
        <c:dLbls>
          <c:dLblPos val="outEnd"/>
          <c:showLegendKey val="0"/>
          <c:showVal val="1"/>
          <c:showCatName val="0"/>
          <c:showSerName val="0"/>
          <c:showPercent val="0"/>
          <c:showBubbleSize val="0"/>
        </c:dLbls>
        <c:gapWidth val="219"/>
        <c:overlap val="-27"/>
        <c:axId val="1832321032"/>
        <c:axId val="1832323080"/>
      </c:barChart>
      <c:catAx>
        <c:axId val="183232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23080"/>
        <c:crosses val="autoZero"/>
        <c:auto val="1"/>
        <c:lblAlgn val="ctr"/>
        <c:lblOffset val="100"/>
        <c:noMultiLvlLbl val="0"/>
      </c:catAx>
      <c:valAx>
        <c:axId val="183232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21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Pivot_Tables!$A$36:$A$41</c:f>
              <c:strCache>
                <c:ptCount val="5"/>
                <c:pt idx="0">
                  <c:v>Ravi</c:v>
                </c:pt>
                <c:pt idx="1">
                  <c:v>Anjali</c:v>
                </c:pt>
                <c:pt idx="2">
                  <c:v>Kiran</c:v>
                </c:pt>
                <c:pt idx="3">
                  <c:v>Priya</c:v>
                </c:pt>
                <c:pt idx="4">
                  <c:v>Suresh</c:v>
                </c:pt>
              </c:strCache>
            </c:strRef>
          </c:cat>
          <c:val>
            <c:numRef>
              <c:f>Pivot_Tables!$B$36:$B$41</c:f>
              <c:numCache>
                <c:formatCode>General</c:formatCode>
                <c:ptCount val="5"/>
                <c:pt idx="0">
                  <c:v>10540399</c:v>
                </c:pt>
                <c:pt idx="1">
                  <c:v>8890595</c:v>
                </c:pt>
                <c:pt idx="2">
                  <c:v>7116870</c:v>
                </c:pt>
                <c:pt idx="3">
                  <c:v>6956635</c:v>
                </c:pt>
                <c:pt idx="4">
                  <c:v>5350749</c:v>
                </c:pt>
              </c:numCache>
            </c:numRef>
          </c:val>
          <c:extLst>
            <c:ext xmlns:c16="http://schemas.microsoft.com/office/drawing/2014/chart" uri="{C3380CC4-5D6E-409C-BE32-E72D297353CC}">
              <c16:uniqueId val="{00000000-23C1-40BE-AF51-07AB4ABD310E}"/>
            </c:ext>
          </c:extLst>
        </c:ser>
        <c:dLbls>
          <c:dLblPos val="outEnd"/>
          <c:showLegendKey val="0"/>
          <c:showVal val="1"/>
          <c:showCatName val="0"/>
          <c:showSerName val="0"/>
          <c:showPercent val="0"/>
          <c:showBubbleSize val="0"/>
        </c:dLbls>
        <c:gapWidth val="150"/>
        <c:axId val="592725296"/>
        <c:axId val="592726016"/>
      </c:barChart>
      <c:catAx>
        <c:axId val="59272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26016"/>
        <c:crosses val="autoZero"/>
        <c:auto val="1"/>
        <c:lblAlgn val="ctr"/>
        <c:lblOffset val="100"/>
        <c:noMultiLvlLbl val="0"/>
      </c:catAx>
      <c:valAx>
        <c:axId val="59272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2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VOC Feedback Responses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doughnutChart>
        <c:varyColors val="1"/>
        <c:ser>
          <c:idx val="0"/>
          <c:order val="0"/>
          <c:tx>
            <c:strRef>
              <c:f>Pivot_Tables!$B$47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AC-422C-9CBD-5737DE5DC6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AC-422C-9CBD-5737DE5DC6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AC-422C-9CBD-5737DE5DC6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AC-422C-9CBD-5737DE5DC6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AC-422C-9CBD-5737DE5DC6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Pivot_Tables!$A$48:$A$53</c:f>
              <c:strCache>
                <c:ptCount val="5"/>
                <c:pt idx="0">
                  <c:v>Delivery Delay</c:v>
                </c:pt>
                <c:pt idx="1">
                  <c:v>Excellent Service</c:v>
                </c:pt>
                <c:pt idx="2">
                  <c:v>Late Response</c:v>
                </c:pt>
                <c:pt idx="3">
                  <c:v>Pricing Concern</c:v>
                </c:pt>
                <c:pt idx="4">
                  <c:v>Product Quality</c:v>
                </c:pt>
              </c:strCache>
            </c:strRef>
          </c:cat>
          <c:val>
            <c:numRef>
              <c:f>Pivot_Tables!$B$48:$B$53</c:f>
              <c:numCache>
                <c:formatCode>General</c:formatCode>
                <c:ptCount val="5"/>
                <c:pt idx="0">
                  <c:v>98</c:v>
                </c:pt>
                <c:pt idx="1">
                  <c:v>97</c:v>
                </c:pt>
                <c:pt idx="2">
                  <c:v>96</c:v>
                </c:pt>
                <c:pt idx="3">
                  <c:v>98</c:v>
                </c:pt>
                <c:pt idx="4">
                  <c:v>111</c:v>
                </c:pt>
              </c:numCache>
            </c:numRef>
          </c:val>
          <c:extLst>
            <c:ext xmlns:c16="http://schemas.microsoft.com/office/drawing/2014/chart" uri="{C3380CC4-5D6E-409C-BE32-E72D297353CC}">
              <c16:uniqueId val="{0000000A-45AC-422C-9CBD-5737DE5DC6D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[CRM_Data_Analyst_Project_Dataset.xlsx]Pivot_Tables!PivotTable6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Pivot_Tables!$B$60</c:f>
              <c:strCache>
                <c:ptCount val="1"/>
                <c:pt idx="0">
                  <c:v>Sum of Leads_Generated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Pivot_Tables!$A$61:$A$66</c:f>
              <c:strCache>
                <c:ptCount val="5"/>
                <c:pt idx="0">
                  <c:v>Digital Ads</c:v>
                </c:pt>
                <c:pt idx="1">
                  <c:v>OEM Outreach</c:v>
                </c:pt>
                <c:pt idx="2">
                  <c:v>Referral Drive</c:v>
                </c:pt>
                <c:pt idx="3">
                  <c:v>Summer Campaign</c:v>
                </c:pt>
                <c:pt idx="4">
                  <c:v>WhatsApp Campaign</c:v>
                </c:pt>
              </c:strCache>
            </c:strRef>
          </c:cat>
          <c:val>
            <c:numRef>
              <c:f>Pivot_Tables!$B$61:$B$66</c:f>
              <c:numCache>
                <c:formatCode>General</c:formatCode>
                <c:ptCount val="5"/>
                <c:pt idx="0">
                  <c:v>4600</c:v>
                </c:pt>
                <c:pt idx="1">
                  <c:v>5865</c:v>
                </c:pt>
                <c:pt idx="2">
                  <c:v>3876</c:v>
                </c:pt>
                <c:pt idx="3">
                  <c:v>6127</c:v>
                </c:pt>
                <c:pt idx="4">
                  <c:v>5195</c:v>
                </c:pt>
              </c:numCache>
            </c:numRef>
          </c:val>
          <c:extLst>
            <c:ext xmlns:c16="http://schemas.microsoft.com/office/drawing/2014/chart" uri="{C3380CC4-5D6E-409C-BE32-E72D297353CC}">
              <c16:uniqueId val="{00000000-D58B-481C-8B64-3531471612FE}"/>
            </c:ext>
          </c:extLst>
        </c:ser>
        <c:ser>
          <c:idx val="1"/>
          <c:order val="1"/>
          <c:tx>
            <c:strRef>
              <c:f>Pivot_Tables!$C$60</c:f>
              <c:strCache>
                <c:ptCount val="1"/>
                <c:pt idx="0">
                  <c:v>Sum of Conversions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Pivot_Tables!$A$61:$A$66</c:f>
              <c:strCache>
                <c:ptCount val="5"/>
                <c:pt idx="0">
                  <c:v>Digital Ads</c:v>
                </c:pt>
                <c:pt idx="1">
                  <c:v>OEM Outreach</c:v>
                </c:pt>
                <c:pt idx="2">
                  <c:v>Referral Drive</c:v>
                </c:pt>
                <c:pt idx="3">
                  <c:v>Summer Campaign</c:v>
                </c:pt>
                <c:pt idx="4">
                  <c:v>WhatsApp Campaign</c:v>
                </c:pt>
              </c:strCache>
            </c:strRef>
          </c:cat>
          <c:val>
            <c:numRef>
              <c:f>Pivot_Tables!$C$61:$C$66</c:f>
              <c:numCache>
                <c:formatCode>General</c:formatCode>
                <c:ptCount val="5"/>
                <c:pt idx="0">
                  <c:v>1021</c:v>
                </c:pt>
                <c:pt idx="1">
                  <c:v>1292</c:v>
                </c:pt>
                <c:pt idx="2">
                  <c:v>881</c:v>
                </c:pt>
                <c:pt idx="3">
                  <c:v>1605</c:v>
                </c:pt>
                <c:pt idx="4">
                  <c:v>918</c:v>
                </c:pt>
              </c:numCache>
            </c:numRef>
          </c:val>
          <c:extLst>
            <c:ext xmlns:c16="http://schemas.microsoft.com/office/drawing/2014/chart" uri="{C3380CC4-5D6E-409C-BE32-E72D297353CC}">
              <c16:uniqueId val="{00000001-D58B-481C-8B64-3531471612FE}"/>
            </c:ext>
          </c:extLst>
        </c:ser>
        <c:dLbls>
          <c:dLblPos val="outEnd"/>
          <c:showLegendKey val="0"/>
          <c:showVal val="1"/>
          <c:showCatName val="0"/>
          <c:showSerName val="0"/>
          <c:showPercent val="0"/>
          <c:showBubbleSize val="0"/>
        </c:dLbls>
        <c:gapWidth val="219"/>
        <c:overlap val="-27"/>
        <c:axId val="1897241607"/>
        <c:axId val="1917847047"/>
      </c:barChart>
      <c:catAx>
        <c:axId val="1897241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847047"/>
        <c:crosses val="autoZero"/>
        <c:auto val="1"/>
        <c:lblAlgn val="ctr"/>
        <c:lblOffset val="100"/>
        <c:noMultiLvlLbl val="0"/>
      </c:catAx>
      <c:valAx>
        <c:axId val="1917847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241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funnel" uniqueId="{00000003-0A45-4429-AF9F-B1F0EB44DDCD}">
          <cx:tx>
            <cx:txData>
              <cx:f>_xlchart.v2.1</cx:f>
              <cx:v>Count of Lead_ID</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Lead Status Funnel</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Lead Status Funnel</a:t>
          </a:r>
        </a:p>
      </cx:txPr>
    </cx:title>
    <cx:plotArea>
      <cx:plotAreaRegion>
        <cx:series layoutId="funnel" uniqueId="{00000003-0A45-4429-AF9F-B1F0EB44DDCD}">
          <cx:tx>
            <cx:txData>
              <cx:f>_xlchart.v2.4</cx:f>
              <cx:v>Count of Lead_ID</cx:v>
            </cx:txData>
          </cx:tx>
          <cx:dataPt idx="0">
            <cx:spPr>
              <a:solidFill>
                <a:srgbClr val="00B050"/>
              </a:solidFill>
            </cx:spPr>
          </cx:dataPt>
          <cx:dataPt idx="1">
            <cx:spPr>
              <a:solidFill>
                <a:srgbClr val="FF0000"/>
              </a:solidFill>
            </cx:spPr>
          </cx:dataPt>
          <cx:dataPt idx="2">
            <cx:spPr>
              <a:solidFill>
                <a:srgbClr val="FFFF00"/>
              </a:solidFill>
            </cx:spPr>
          </cx:dataPt>
          <cx:dataPt idx="3">
            <cx:spPr>
              <a:solidFill>
                <a:srgbClr val="00B0F0"/>
              </a:solidFill>
            </cx:spPr>
          </cx:dataPt>
          <cx:dataPt idx="4">
            <cx:spPr>
              <a:solidFill>
                <a:srgbClr val="FFC000"/>
              </a:solidFill>
            </cx:spPr>
          </cx:dataPt>
          <cx:dataPt idx="5">
            <cx:spPr>
              <a:solidFill>
                <a:srgbClr val="0070C0"/>
              </a:solidFill>
            </cx:spPr>
          </cx:dataPt>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123825</xdr:colOff>
      <xdr:row>0</xdr:row>
      <xdr:rowOff>9525</xdr:rowOff>
    </xdr:from>
    <xdr:to>
      <xdr:col>7</xdr:col>
      <xdr:colOff>228600</xdr:colOff>
      <xdr:row>10</xdr:row>
      <xdr:rowOff>161925</xdr:rowOff>
    </xdr:to>
    <xdr:graphicFrame macro="">
      <xdr:nvGraphicFramePr>
        <xdr:cNvPr id="2" name="Chart 1">
          <a:extLst>
            <a:ext uri="{FF2B5EF4-FFF2-40B4-BE49-F238E27FC236}">
              <a16:creationId xmlns:a16="http://schemas.microsoft.com/office/drawing/2014/main" id="{E76697E1-1D55-A00F-30FE-6C719750E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11</xdr:row>
      <xdr:rowOff>161925</xdr:rowOff>
    </xdr:from>
    <xdr:to>
      <xdr:col>9</xdr:col>
      <xdr:colOff>171450</xdr:colOff>
      <xdr:row>21</xdr:row>
      <xdr:rowOff>161925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0F90D48-2B0F-E4F2-93CE-613C1E3D4311}"/>
                </a:ext>
                <a:ext uri="{147F2762-F138-4A5C-976F-8EAC2B608ADB}">
                  <a16:predDERef xmlns:a16="http://schemas.microsoft.com/office/drawing/2014/main" pred="{E76697E1-1D55-A00F-30FE-6C719750E8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419100</xdr:colOff>
      <xdr:row>22</xdr:row>
      <xdr:rowOff>114300</xdr:rowOff>
    </xdr:from>
    <xdr:to>
      <xdr:col>8</xdr:col>
      <xdr:colOff>28575</xdr:colOff>
      <xdr:row>32</xdr:row>
      <xdr:rowOff>161925</xdr:rowOff>
    </xdr:to>
    <xdr:graphicFrame macro="">
      <xdr:nvGraphicFramePr>
        <xdr:cNvPr id="4" name="Chart 3">
          <a:extLst>
            <a:ext uri="{FF2B5EF4-FFF2-40B4-BE49-F238E27FC236}">
              <a16:creationId xmlns:a16="http://schemas.microsoft.com/office/drawing/2014/main" id="{AED6BD5A-A7DE-DB13-9BCD-DBF33025F65B}"/>
            </a:ext>
            <a:ext uri="{147F2762-F138-4A5C-976F-8EAC2B608ADB}">
              <a16:predDERef xmlns:a16="http://schemas.microsoft.com/office/drawing/2014/main" pred="{A0F90D48-2B0F-E4F2-93CE-613C1E3D4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485775</xdr:colOff>
      <xdr:row>33</xdr:row>
      <xdr:rowOff>57150</xdr:rowOff>
    </xdr:from>
    <xdr:to>
      <xdr:col>9</xdr:col>
      <xdr:colOff>104775</xdr:colOff>
      <xdr:row>45</xdr:row>
      <xdr:rowOff>66675</xdr:rowOff>
    </xdr:to>
    <xdr:graphicFrame macro="">
      <xdr:nvGraphicFramePr>
        <xdr:cNvPr id="10" name="Chart 4">
          <a:extLst>
            <a:ext uri="{FF2B5EF4-FFF2-40B4-BE49-F238E27FC236}">
              <a16:creationId xmlns:a16="http://schemas.microsoft.com/office/drawing/2014/main" id="{A4B92234-77E8-A371-9A36-E5953296A496}"/>
            </a:ext>
            <a:ext uri="{147F2762-F138-4A5C-976F-8EAC2B608ADB}">
              <a16:predDERef xmlns:a16="http://schemas.microsoft.com/office/drawing/2014/main" pred="{AED6BD5A-A7DE-DB13-9BCD-DBF33025F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46</xdr:row>
      <xdr:rowOff>9525</xdr:rowOff>
    </xdr:from>
    <xdr:to>
      <xdr:col>8</xdr:col>
      <xdr:colOff>104775</xdr:colOff>
      <xdr:row>57</xdr:row>
      <xdr:rowOff>161925</xdr:rowOff>
    </xdr:to>
    <xdr:graphicFrame macro="">
      <xdr:nvGraphicFramePr>
        <xdr:cNvPr id="13" name="Chart 2">
          <a:extLst>
            <a:ext uri="{FF2B5EF4-FFF2-40B4-BE49-F238E27FC236}">
              <a16:creationId xmlns:a16="http://schemas.microsoft.com/office/drawing/2014/main" id="{DE2B7690-BF2F-8478-1A65-A7885341EEB9}"/>
            </a:ext>
            <a:ext uri="{147F2762-F138-4A5C-976F-8EAC2B608ADB}">
              <a16:predDERef xmlns:a16="http://schemas.microsoft.com/office/drawing/2014/main" pred="{A4B92234-77E8-A371-9A36-E5953296A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533400</xdr:colOff>
      <xdr:row>59</xdr:row>
      <xdr:rowOff>0</xdr:rowOff>
    </xdr:from>
    <xdr:to>
      <xdr:col>11</xdr:col>
      <xdr:colOff>228600</xdr:colOff>
      <xdr:row>73</xdr:row>
      <xdr:rowOff>76200</xdr:rowOff>
    </xdr:to>
    <xdr:graphicFrame macro="">
      <xdr:nvGraphicFramePr>
        <xdr:cNvPr id="20" name="Chart 5">
          <a:extLst>
            <a:ext uri="{FF2B5EF4-FFF2-40B4-BE49-F238E27FC236}">
              <a16:creationId xmlns:a16="http://schemas.microsoft.com/office/drawing/2014/main" id="{E6C69778-40B3-F0BE-70F9-9B4BEB5BE8FE}"/>
            </a:ext>
            <a:ext uri="{147F2762-F138-4A5C-976F-8EAC2B608ADB}">
              <a16:predDERef xmlns:a16="http://schemas.microsoft.com/office/drawing/2014/main" pred="{DE2B7690-BF2F-8478-1A65-A7885341E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57150</xdr:colOff>
      <xdr:row>7</xdr:row>
      <xdr:rowOff>47625</xdr:rowOff>
    </xdr:from>
    <xdr:to>
      <xdr:col>14</xdr:col>
      <xdr:colOff>57150</xdr:colOff>
      <xdr:row>21</xdr:row>
      <xdr:rowOff>19050</xdr:rowOff>
    </xdr:to>
    <mc:AlternateContent xmlns:mc="http://schemas.openxmlformats.org/markup-compatibility/2006" xmlns:a14="http://schemas.microsoft.com/office/drawing/2010/main">
      <mc:Choice Requires="a14">
        <xdr:graphicFrame macro="">
          <xdr:nvGraphicFramePr>
            <xdr:cNvPr id="25" name="Lead_Source">
              <a:extLst>
                <a:ext uri="{FF2B5EF4-FFF2-40B4-BE49-F238E27FC236}">
                  <a16:creationId xmlns:a16="http://schemas.microsoft.com/office/drawing/2014/main" id="{8C43F2AC-41CC-D2B1-0CBD-3E7AB546DBE4}"/>
                </a:ext>
                <a:ext uri="{147F2762-F138-4A5C-976F-8EAC2B608ADB}">
                  <a16:predDERef xmlns:a16="http://schemas.microsoft.com/office/drawing/2014/main" pred="{E6C69778-40B3-F0BE-70F9-9B4BEB5BE8FE}"/>
                </a:ext>
              </a:extLst>
            </xdr:cNvPr>
            <xdr:cNvGraphicFramePr/>
          </xdr:nvGraphicFramePr>
          <xdr:xfrm>
            <a:off x="0" y="0"/>
            <a:ext cx="0" cy="0"/>
          </xdr:xfrm>
          <a:graphic>
            <a:graphicData uri="http://schemas.microsoft.com/office/drawing/2010/slicer">
              <sle:slicer xmlns:sle="http://schemas.microsoft.com/office/drawing/2010/slicer" name="Lead_Source"/>
            </a:graphicData>
          </a:graphic>
        </xdr:graphicFrame>
      </mc:Choice>
      <mc:Fallback xmlns="">
        <xdr:sp macro="" textlink="">
          <xdr:nvSpPr>
            <xdr:cNvPr id="0" name=""/>
            <xdr:cNvSpPr>
              <a:spLocks noTextEdit="1"/>
            </xdr:cNvSpPr>
          </xdr:nvSpPr>
          <xdr:spPr>
            <a:xfrm>
              <a:off x="8258175" y="13811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323850</xdr:colOff>
      <xdr:row>4</xdr:row>
      <xdr:rowOff>0</xdr:rowOff>
    </xdr:from>
    <xdr:to>
      <xdr:col>9</xdr:col>
      <xdr:colOff>323850</xdr:colOff>
      <xdr:row>17</xdr:row>
      <xdr:rowOff>161925</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EC13F2E4-D7A7-9245-537C-AEF9A0716C80}"/>
                </a:ext>
                <a:ext uri="{147F2762-F138-4A5C-976F-8EAC2B608ADB}">
                  <a16:predDERef xmlns:a16="http://schemas.microsoft.com/office/drawing/2014/main" pred="{8C43F2AC-41CC-D2B1-0CBD-3E7AB546DB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76875" y="7620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533400</xdr:colOff>
      <xdr:row>5</xdr:row>
      <xdr:rowOff>19050</xdr:rowOff>
    </xdr:from>
    <xdr:to>
      <xdr:col>9</xdr:col>
      <xdr:colOff>533400</xdr:colOff>
      <xdr:row>18</xdr:row>
      <xdr:rowOff>180975</xdr:rowOff>
    </xdr:to>
    <mc:AlternateContent xmlns:mc="http://schemas.openxmlformats.org/markup-compatibility/2006" xmlns:a14="http://schemas.microsoft.com/office/drawing/2010/main">
      <mc:Choice Requires="a14">
        <xdr:graphicFrame macro="">
          <xdr:nvGraphicFramePr>
            <xdr:cNvPr id="23" name="Sales_Rep">
              <a:extLst>
                <a:ext uri="{FF2B5EF4-FFF2-40B4-BE49-F238E27FC236}">
                  <a16:creationId xmlns:a16="http://schemas.microsoft.com/office/drawing/2014/main" id="{E639CE73-F36D-C84F-2E8F-55F883D6E2B4}"/>
                </a:ext>
                <a:ext uri="{147F2762-F138-4A5C-976F-8EAC2B608ADB}">
                  <a16:predDERef xmlns:a16="http://schemas.microsoft.com/office/drawing/2014/main" pred="{EC13F2E4-D7A7-9245-537C-AEF9A0716C80}"/>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5686425" y="9715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xdr:colOff>
      <xdr:row>3</xdr:row>
      <xdr:rowOff>28575</xdr:rowOff>
    </xdr:from>
    <xdr:to>
      <xdr:col>5</xdr:col>
      <xdr:colOff>133350</xdr:colOff>
      <xdr:row>13</xdr:row>
      <xdr:rowOff>9525</xdr:rowOff>
    </xdr:to>
    <xdr:graphicFrame macro="">
      <xdr:nvGraphicFramePr>
        <xdr:cNvPr id="131" name="Chart 1">
          <a:extLst>
            <a:ext uri="{FF2B5EF4-FFF2-40B4-BE49-F238E27FC236}">
              <a16:creationId xmlns:a16="http://schemas.microsoft.com/office/drawing/2014/main" id="{65F6AF69-1508-439F-A8F6-793316AFD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152400</xdr:colOff>
      <xdr:row>3</xdr:row>
      <xdr:rowOff>19050</xdr:rowOff>
    </xdr:from>
    <xdr:to>
      <xdr:col>8</xdr:col>
      <xdr:colOff>1200150</xdr:colOff>
      <xdr:row>12</xdr:row>
      <xdr:rowOff>180975</xdr:rowOff>
    </xdr:to>
    <mc:AlternateContent xmlns:mc="http://schemas.openxmlformats.org/markup-compatibility/2006">
      <mc:Choice xmlns:cx2="http://schemas.microsoft.com/office/drawing/2015/10/21/chartex" Requires="cx2">
        <xdr:graphicFrame macro="">
          <xdr:nvGraphicFramePr>
            <xdr:cNvPr id="116" name="Chart 2">
              <a:extLst>
                <a:ext uri="{FF2B5EF4-FFF2-40B4-BE49-F238E27FC236}">
                  <a16:creationId xmlns:a16="http://schemas.microsoft.com/office/drawing/2014/main" id="{90FC8847-EA87-402D-AC7C-9E4D5A9A40D8}"/>
                </a:ext>
                <a:ext uri="{147F2762-F138-4A5C-976F-8EAC2B608ADB}">
                  <a16:predDERef xmlns:a16="http://schemas.microsoft.com/office/drawing/2014/main" pred="{65F6AF69-1508-439F-A8F6-793316AFD4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1190625</xdr:colOff>
      <xdr:row>3</xdr:row>
      <xdr:rowOff>19050</xdr:rowOff>
    </xdr:from>
    <xdr:to>
      <xdr:col>12</xdr:col>
      <xdr:colOff>571500</xdr:colOff>
      <xdr:row>12</xdr:row>
      <xdr:rowOff>180975</xdr:rowOff>
    </xdr:to>
    <xdr:graphicFrame macro="">
      <xdr:nvGraphicFramePr>
        <xdr:cNvPr id="133" name="Chart 3">
          <a:extLst>
            <a:ext uri="{FF2B5EF4-FFF2-40B4-BE49-F238E27FC236}">
              <a16:creationId xmlns:a16="http://schemas.microsoft.com/office/drawing/2014/main" id="{3C4EE4FD-4A31-4B5D-9FD7-8B0AE2132E06}"/>
            </a:ext>
            <a:ext uri="{147F2762-F138-4A5C-976F-8EAC2B608ADB}">
              <a16:predDERef xmlns:a16="http://schemas.microsoft.com/office/drawing/2014/main" pred="{90FC8847-EA87-402D-AC7C-9E4D5A9A4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13</xdr:row>
      <xdr:rowOff>0</xdr:rowOff>
    </xdr:from>
    <xdr:to>
      <xdr:col>5</xdr:col>
      <xdr:colOff>133350</xdr:colOff>
      <xdr:row>25</xdr:row>
      <xdr:rowOff>171450</xdr:rowOff>
    </xdr:to>
    <xdr:graphicFrame macro="">
      <xdr:nvGraphicFramePr>
        <xdr:cNvPr id="135" name="Chart 4">
          <a:extLst>
            <a:ext uri="{FF2B5EF4-FFF2-40B4-BE49-F238E27FC236}">
              <a16:creationId xmlns:a16="http://schemas.microsoft.com/office/drawing/2014/main" id="{3BDB2C18-5D6D-49B5-94CC-61CB8A724747}"/>
            </a:ext>
            <a:ext uri="{147F2762-F138-4A5C-976F-8EAC2B608ADB}">
              <a16:predDERef xmlns:a16="http://schemas.microsoft.com/office/drawing/2014/main" pred="{3C4EE4FD-4A31-4B5D-9FD7-8B0AE2132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13</xdr:row>
      <xdr:rowOff>0</xdr:rowOff>
    </xdr:from>
    <xdr:to>
      <xdr:col>8</xdr:col>
      <xdr:colOff>1181100</xdr:colOff>
      <xdr:row>25</xdr:row>
      <xdr:rowOff>171450</xdr:rowOff>
    </xdr:to>
    <xdr:graphicFrame macro="">
      <xdr:nvGraphicFramePr>
        <xdr:cNvPr id="129" name="Chart 5">
          <a:extLst>
            <a:ext uri="{FF2B5EF4-FFF2-40B4-BE49-F238E27FC236}">
              <a16:creationId xmlns:a16="http://schemas.microsoft.com/office/drawing/2014/main" id="{0690F9F3-4B05-4665-B454-C61BCE60F2E1}"/>
            </a:ext>
            <a:ext uri="{147F2762-F138-4A5C-976F-8EAC2B608ADB}">
              <a16:predDERef xmlns:a16="http://schemas.microsoft.com/office/drawing/2014/main" pred="{3BDB2C18-5D6D-49B5-94CC-61CB8A724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1200150</xdr:colOff>
      <xdr:row>12</xdr:row>
      <xdr:rowOff>180975</xdr:rowOff>
    </xdr:from>
    <xdr:to>
      <xdr:col>12</xdr:col>
      <xdr:colOff>590550</xdr:colOff>
      <xdr:row>25</xdr:row>
      <xdr:rowOff>152400</xdr:rowOff>
    </xdr:to>
    <xdr:graphicFrame macro="">
      <xdr:nvGraphicFramePr>
        <xdr:cNvPr id="122" name="Chart 6">
          <a:extLst>
            <a:ext uri="{FF2B5EF4-FFF2-40B4-BE49-F238E27FC236}">
              <a16:creationId xmlns:a16="http://schemas.microsoft.com/office/drawing/2014/main" id="{CB94F64A-509B-4569-8B5F-B0BC8E1EEC4B}"/>
            </a:ext>
            <a:ext uri="{147F2762-F138-4A5C-976F-8EAC2B608ADB}">
              <a16:predDERef xmlns:a16="http://schemas.microsoft.com/office/drawing/2014/main" pred="{0690F9F3-4B05-4665-B454-C61BCE60F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0</xdr:colOff>
      <xdr:row>0</xdr:row>
      <xdr:rowOff>19050</xdr:rowOff>
    </xdr:from>
    <xdr:to>
      <xdr:col>16</xdr:col>
      <xdr:colOff>0</xdr:colOff>
      <xdr:row>8</xdr:row>
      <xdr:rowOff>9525</xdr:rowOff>
    </xdr:to>
    <mc:AlternateContent xmlns:mc="http://schemas.openxmlformats.org/markup-compatibility/2006" xmlns:a14="http://schemas.microsoft.com/office/drawing/2010/main">
      <mc:Choice Requires="a14">
        <xdr:graphicFrame macro="">
          <xdr:nvGraphicFramePr>
            <xdr:cNvPr id="139" name="Lead_Source 1">
              <a:extLst>
                <a:ext uri="{FF2B5EF4-FFF2-40B4-BE49-F238E27FC236}">
                  <a16:creationId xmlns:a16="http://schemas.microsoft.com/office/drawing/2014/main" id="{5B275C4B-8EEB-47E8-8334-E859BEF2BE79}"/>
                </a:ext>
                <a:ext uri="{147F2762-F138-4A5C-976F-8EAC2B608ADB}">
                  <a16:predDERef xmlns:a16="http://schemas.microsoft.com/office/drawing/2014/main" pred="{CB94F64A-509B-4569-8B5F-B0BC8E1EEC4B}"/>
                </a:ext>
              </a:extLst>
            </xdr:cNvPr>
            <xdr:cNvGraphicFramePr/>
          </xdr:nvGraphicFramePr>
          <xdr:xfrm>
            <a:off x="0" y="0"/>
            <a:ext cx="0" cy="0"/>
          </xdr:xfrm>
          <a:graphic>
            <a:graphicData uri="http://schemas.microsoft.com/office/drawing/2010/slicer">
              <sle:slicer xmlns:sle="http://schemas.microsoft.com/office/drawing/2010/slicer" name="Lead_Source 1"/>
            </a:graphicData>
          </a:graphic>
        </xdr:graphicFrame>
      </mc:Choice>
      <mc:Fallback xmlns="">
        <xdr:sp macro="" textlink="">
          <xdr:nvSpPr>
            <xdr:cNvPr id="0" name=""/>
            <xdr:cNvSpPr>
              <a:spLocks noTextEdit="1"/>
            </xdr:cNvSpPr>
          </xdr:nvSpPr>
          <xdr:spPr>
            <a:xfrm>
              <a:off x="12592050" y="800101"/>
              <a:ext cx="1828800"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8</xdr:row>
      <xdr:rowOff>9526</xdr:rowOff>
    </xdr:from>
    <xdr:to>
      <xdr:col>16</xdr:col>
      <xdr:colOff>19050</xdr:colOff>
      <xdr:row>16</xdr:row>
      <xdr:rowOff>161926</xdr:rowOff>
    </xdr:to>
    <mc:AlternateContent xmlns:mc="http://schemas.openxmlformats.org/markup-compatibility/2006" xmlns:a14="http://schemas.microsoft.com/office/drawing/2010/main">
      <mc:Choice Requires="a14">
        <xdr:graphicFrame macro="">
          <xdr:nvGraphicFramePr>
            <xdr:cNvPr id="140" name="Sales_Rep 1">
              <a:extLst>
                <a:ext uri="{FF2B5EF4-FFF2-40B4-BE49-F238E27FC236}">
                  <a16:creationId xmlns:a16="http://schemas.microsoft.com/office/drawing/2014/main" id="{428E6D7E-9BE8-4AF9-8387-AC89CB28D9FD}"/>
                </a:ext>
                <a:ext uri="{147F2762-F138-4A5C-976F-8EAC2B608ADB}">
                  <a16:predDERef xmlns:a16="http://schemas.microsoft.com/office/drawing/2014/main" pred="{5B275C4B-8EEB-47E8-8334-E859BEF2BE79}"/>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mlns="">
        <xdr:sp macro="" textlink="">
          <xdr:nvSpPr>
            <xdr:cNvPr id="0" name=""/>
            <xdr:cNvSpPr>
              <a:spLocks noTextEdit="1"/>
            </xdr:cNvSpPr>
          </xdr:nvSpPr>
          <xdr:spPr>
            <a:xfrm>
              <a:off x="12601575" y="2790826"/>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xdr:colOff>
      <xdr:row>16</xdr:row>
      <xdr:rowOff>142875</xdr:rowOff>
    </xdr:from>
    <xdr:to>
      <xdr:col>16</xdr:col>
      <xdr:colOff>19050</xdr:colOff>
      <xdr:row>25</xdr:row>
      <xdr:rowOff>161925</xdr:rowOff>
    </xdr:to>
    <mc:AlternateContent xmlns:mc="http://schemas.openxmlformats.org/markup-compatibility/2006" xmlns:a14="http://schemas.microsoft.com/office/drawing/2010/main">
      <mc:Choice Requires="a14">
        <xdr:graphicFrame macro="">
          <xdr:nvGraphicFramePr>
            <xdr:cNvPr id="141" name="Region 1">
              <a:extLst>
                <a:ext uri="{FF2B5EF4-FFF2-40B4-BE49-F238E27FC236}">
                  <a16:creationId xmlns:a16="http://schemas.microsoft.com/office/drawing/2014/main" id="{F3E9397F-0413-4A01-81B0-CC3A9B6D4FFC}"/>
                </a:ext>
                <a:ext uri="{147F2762-F138-4A5C-976F-8EAC2B608ADB}">
                  <a16:predDERef xmlns:a16="http://schemas.microsoft.com/office/drawing/2014/main" pred="{428E6D7E-9BE8-4AF9-8387-AC89CB28D9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11100" y="3419475"/>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8.684580555557" createdVersion="8" refreshedVersion="8" minRefreshableVersion="3" recordCount="1000" xr:uid="{0A924F84-DD43-4E5E-A3D9-E7AC5040A00B}">
  <cacheSource type="worksheet">
    <worksheetSource name="Table1"/>
  </cacheSource>
  <cacheFields count="9">
    <cacheField name="Lead_ID" numFmtId="0">
      <sharedItems/>
    </cacheField>
    <cacheField name="Customer_Name" numFmtId="0">
      <sharedItems/>
    </cacheField>
    <cacheField name="Lead_Source" numFmtId="0">
      <sharedItems count="6">
        <s v="Email Campaign"/>
        <s v="LinkedIn"/>
        <s v="Referral"/>
        <s v="Website"/>
        <s v="Cold Call"/>
        <s v="Trade Show"/>
      </sharedItems>
    </cacheField>
    <cacheField name="Region" numFmtId="0">
      <sharedItems count="5">
        <s v="Vizag"/>
        <s v="Bangalore"/>
        <s v="Hyderabad"/>
        <s v="Chennai"/>
        <s v="Mumbai"/>
      </sharedItems>
    </cacheField>
    <cacheField name="Sales_Rep" numFmtId="0">
      <sharedItems count="5">
        <s v="Suresh"/>
        <s v="Anjali"/>
        <s v="Ravi"/>
        <s v="Priya"/>
        <s v="Kiran"/>
      </sharedItems>
    </cacheField>
    <cacheField name="Created_Date" numFmtId="0">
      <sharedItems/>
    </cacheField>
    <cacheField name="Lead_Status" numFmtId="0">
      <sharedItems count="6">
        <s v="Negotiation"/>
        <s v="Lost"/>
        <s v="New"/>
        <s v="Qualified"/>
        <s v="Converted"/>
        <s v="Proposal"/>
      </sharedItems>
    </cacheField>
    <cacheField name="Revenue" numFmtId="0">
      <sharedItems containsSemiMixedTypes="0" containsString="0" containsNumber="1" containsInteger="1" minValue="0" maxValue="498112"/>
    </cacheField>
    <cacheField name="Response_Time_Days" numFmtId="0">
      <sharedItems containsSemiMixedTypes="0" containsString="0" containsNumber="1" containsInteger="1" minValue="1" maxValue="30"/>
    </cacheField>
  </cacheFields>
  <extLst>
    <ext xmlns:x14="http://schemas.microsoft.com/office/spreadsheetml/2009/9/main" uri="{725AE2AE-9491-48be-B2B4-4EB974FC3084}">
      <x14:pivotCacheDefinition pivotCacheId="5733292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8.704975810186" createdVersion="8" refreshedVersion="8" minRefreshableVersion="3" recordCount="500" xr:uid="{DA62CB5A-12C8-44FB-B956-6CBF0E74B95A}">
  <cacheSource type="worksheet">
    <worksheetSource name="Table2"/>
  </cacheSource>
  <cacheFields count="7">
    <cacheField name="Feedback_ID" numFmtId="0">
      <sharedItems/>
    </cacheField>
    <cacheField name="Customer_Name" numFmtId="0">
      <sharedItems/>
    </cacheField>
    <cacheField name="Feedback_Category" numFmtId="0">
      <sharedItems count="5">
        <s v="Late Response"/>
        <s v="Product Quality"/>
        <s v="Excellent Service"/>
        <s v="Delivery Delay"/>
        <s v="Pricing Concern"/>
      </sharedItems>
    </cacheField>
    <cacheField name="Satisfaction_Level" numFmtId="0">
      <sharedItems/>
    </cacheField>
    <cacheField name="NPS_Score" numFmtId="0">
      <sharedItems containsSemiMixedTypes="0" containsString="0" containsNumber="1" containsInteger="1" minValue="1" maxValue="10"/>
    </cacheField>
    <cacheField name="Issue_Severity" numFmtId="0">
      <sharedItems containsSemiMixedTypes="0" containsString="0" containsNumber="1" containsInteger="1" minValue="1" maxValue="5"/>
    </cacheField>
    <cacheField name="Feedback_Dat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8.736607986109" createdVersion="8" refreshedVersion="8" minRefreshableVersion="3" recordCount="100" xr:uid="{7E7A8882-2438-42A2-B520-B8C2CF4DA372}">
  <cacheSource type="worksheet">
    <worksheetSource name="Table4"/>
  </cacheSource>
  <cacheFields count="7">
    <cacheField name="Campaign_ID" numFmtId="0">
      <sharedItems/>
    </cacheField>
    <cacheField name="Campaign_Name" numFmtId="0">
      <sharedItems count="5">
        <s v="Digital Ads"/>
        <s v="OEM Outreach"/>
        <s v="Referral Drive"/>
        <s v="Summer Campaign"/>
        <s v="WhatsApp Campaign"/>
      </sharedItems>
    </cacheField>
    <cacheField name="Budget" numFmtId="0">
      <sharedItems containsSemiMixedTypes="0" containsString="0" containsNumber="1" containsInteger="1" minValue="53121" maxValue="499139"/>
    </cacheField>
    <cacheField name="Leads_Generated" numFmtId="0">
      <sharedItems containsSemiMixedTypes="0" containsString="0" containsNumber="1" containsInteger="1" minValue="52" maxValue="499"/>
    </cacheField>
    <cacheField name="Conversions" numFmtId="0">
      <sharedItems containsSemiMixedTypes="0" containsString="0" containsNumber="1" containsInteger="1" minValue="5" maxValue="174"/>
    </cacheField>
    <cacheField name="Conversion_Rate" numFmtId="0">
      <sharedItems containsSemiMixedTypes="0" containsString="0" containsNumber="1" minValue="2.73" maxValue="50"/>
    </cacheField>
    <cacheField name="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0001"/>
    <s v="Customer_1"/>
    <x v="0"/>
    <x v="0"/>
    <x v="0"/>
    <s v="2025-06-21"/>
    <x v="0"/>
    <n v="0"/>
    <n v="29"/>
  </r>
  <r>
    <s v="L0002"/>
    <s v="Customer_2"/>
    <x v="1"/>
    <x v="1"/>
    <x v="1"/>
    <s v="2025-12-01"/>
    <x v="1"/>
    <n v="0"/>
    <n v="21"/>
  </r>
  <r>
    <s v="L0003"/>
    <s v="Customer_3"/>
    <x v="2"/>
    <x v="0"/>
    <x v="2"/>
    <s v="2025-08-02"/>
    <x v="1"/>
    <n v="0"/>
    <n v="15"/>
  </r>
  <r>
    <s v="L0004"/>
    <s v="Customer_4"/>
    <x v="3"/>
    <x v="2"/>
    <x v="0"/>
    <s v="2025-01-10"/>
    <x v="2"/>
    <n v="0"/>
    <n v="15"/>
  </r>
  <r>
    <s v="L0005"/>
    <s v="Customer_5"/>
    <x v="2"/>
    <x v="1"/>
    <x v="3"/>
    <s v="2025-03-19"/>
    <x v="1"/>
    <n v="0"/>
    <n v="18"/>
  </r>
  <r>
    <s v="L0006"/>
    <s v="Customer_6"/>
    <x v="4"/>
    <x v="1"/>
    <x v="1"/>
    <s v="2025-08-07"/>
    <x v="3"/>
    <n v="0"/>
    <n v="17"/>
  </r>
  <r>
    <s v="L0007"/>
    <s v="Customer_7"/>
    <x v="4"/>
    <x v="1"/>
    <x v="3"/>
    <s v="2026-01-01"/>
    <x v="4"/>
    <n v="318858"/>
    <n v="4"/>
  </r>
  <r>
    <s v="L0008"/>
    <s v="Customer_8"/>
    <x v="0"/>
    <x v="3"/>
    <x v="1"/>
    <s v="2025-08-31"/>
    <x v="3"/>
    <n v="0"/>
    <n v="29"/>
  </r>
  <r>
    <s v="L0009"/>
    <s v="Customer_9"/>
    <x v="5"/>
    <x v="0"/>
    <x v="3"/>
    <s v="2025-03-07"/>
    <x v="4"/>
    <n v="64595"/>
    <n v="9"/>
  </r>
  <r>
    <s v="L0010"/>
    <s v="Customer_10"/>
    <x v="1"/>
    <x v="3"/>
    <x v="1"/>
    <s v="2025-09-02"/>
    <x v="4"/>
    <n v="274905"/>
    <n v="30"/>
  </r>
  <r>
    <s v="L0011"/>
    <s v="Customer_11"/>
    <x v="0"/>
    <x v="1"/>
    <x v="1"/>
    <s v="2025-08-03"/>
    <x v="2"/>
    <n v="0"/>
    <n v="9"/>
  </r>
  <r>
    <s v="L0012"/>
    <s v="Customer_12"/>
    <x v="0"/>
    <x v="2"/>
    <x v="4"/>
    <s v="2025-10-10"/>
    <x v="5"/>
    <n v="0"/>
    <n v="7"/>
  </r>
  <r>
    <s v="L0013"/>
    <s v="Customer_13"/>
    <x v="3"/>
    <x v="4"/>
    <x v="3"/>
    <s v="2026-04-26"/>
    <x v="1"/>
    <n v="0"/>
    <n v="2"/>
  </r>
  <r>
    <s v="L0014"/>
    <s v="Customer_14"/>
    <x v="2"/>
    <x v="2"/>
    <x v="2"/>
    <s v="2025-03-19"/>
    <x v="2"/>
    <n v="0"/>
    <n v="15"/>
  </r>
  <r>
    <s v="L0015"/>
    <s v="Customer_15"/>
    <x v="0"/>
    <x v="4"/>
    <x v="2"/>
    <s v="2025-03-05"/>
    <x v="4"/>
    <n v="272902"/>
    <n v="18"/>
  </r>
  <r>
    <s v="L0016"/>
    <s v="Customer_16"/>
    <x v="2"/>
    <x v="2"/>
    <x v="0"/>
    <s v="2026-01-24"/>
    <x v="1"/>
    <n v="0"/>
    <n v="16"/>
  </r>
  <r>
    <s v="L0017"/>
    <s v="Customer_17"/>
    <x v="1"/>
    <x v="1"/>
    <x v="2"/>
    <s v="2025-02-06"/>
    <x v="5"/>
    <n v="0"/>
    <n v="2"/>
  </r>
  <r>
    <s v="L0018"/>
    <s v="Customer_18"/>
    <x v="2"/>
    <x v="3"/>
    <x v="4"/>
    <s v="2025-03-24"/>
    <x v="3"/>
    <n v="0"/>
    <n v="26"/>
  </r>
  <r>
    <s v="L0019"/>
    <s v="Customer_19"/>
    <x v="0"/>
    <x v="2"/>
    <x v="0"/>
    <s v="2025-11-29"/>
    <x v="4"/>
    <n v="498112"/>
    <n v="24"/>
  </r>
  <r>
    <s v="L0020"/>
    <s v="Customer_20"/>
    <x v="1"/>
    <x v="2"/>
    <x v="1"/>
    <s v="2025-05-09"/>
    <x v="0"/>
    <n v="0"/>
    <n v="22"/>
  </r>
  <r>
    <s v="L0021"/>
    <s v="Customer_21"/>
    <x v="1"/>
    <x v="3"/>
    <x v="2"/>
    <s v="2026-01-07"/>
    <x v="0"/>
    <n v="0"/>
    <n v="25"/>
  </r>
  <r>
    <s v="L0022"/>
    <s v="Customer_22"/>
    <x v="4"/>
    <x v="2"/>
    <x v="3"/>
    <s v="2026-05-05"/>
    <x v="5"/>
    <n v="0"/>
    <n v="20"/>
  </r>
  <r>
    <s v="L0023"/>
    <s v="Customer_23"/>
    <x v="0"/>
    <x v="2"/>
    <x v="1"/>
    <s v="2025-12-17"/>
    <x v="3"/>
    <n v="0"/>
    <n v="3"/>
  </r>
  <r>
    <s v="L0024"/>
    <s v="Customer_24"/>
    <x v="3"/>
    <x v="1"/>
    <x v="4"/>
    <s v="2025-03-02"/>
    <x v="4"/>
    <n v="228190"/>
    <n v="4"/>
  </r>
  <r>
    <s v="L0025"/>
    <s v="Customer_25"/>
    <x v="5"/>
    <x v="1"/>
    <x v="1"/>
    <s v="2025-11-19"/>
    <x v="5"/>
    <n v="0"/>
    <n v="9"/>
  </r>
  <r>
    <s v="L0026"/>
    <s v="Customer_26"/>
    <x v="2"/>
    <x v="4"/>
    <x v="4"/>
    <s v="2025-06-24"/>
    <x v="4"/>
    <n v="73285"/>
    <n v="5"/>
  </r>
  <r>
    <s v="L0027"/>
    <s v="Customer_27"/>
    <x v="4"/>
    <x v="1"/>
    <x v="0"/>
    <s v="2025-04-15"/>
    <x v="1"/>
    <n v="0"/>
    <n v="1"/>
  </r>
  <r>
    <s v="L0028"/>
    <s v="Customer_28"/>
    <x v="0"/>
    <x v="1"/>
    <x v="4"/>
    <s v="2026-01-25"/>
    <x v="4"/>
    <n v="462970"/>
    <n v="6"/>
  </r>
  <r>
    <s v="L0029"/>
    <s v="Customer_29"/>
    <x v="2"/>
    <x v="0"/>
    <x v="1"/>
    <s v="2026-02-08"/>
    <x v="3"/>
    <n v="0"/>
    <n v="8"/>
  </r>
  <r>
    <s v="L0030"/>
    <s v="Customer_30"/>
    <x v="0"/>
    <x v="0"/>
    <x v="4"/>
    <s v="2025-09-19"/>
    <x v="5"/>
    <n v="0"/>
    <n v="16"/>
  </r>
  <r>
    <s v="L0031"/>
    <s v="Customer_31"/>
    <x v="2"/>
    <x v="4"/>
    <x v="1"/>
    <s v="2026-05-11"/>
    <x v="0"/>
    <n v="0"/>
    <n v="27"/>
  </r>
  <r>
    <s v="L0032"/>
    <s v="Customer_32"/>
    <x v="5"/>
    <x v="0"/>
    <x v="3"/>
    <s v="2025-02-04"/>
    <x v="4"/>
    <n v="352458"/>
    <n v="15"/>
  </r>
  <r>
    <s v="L0033"/>
    <s v="Customer_33"/>
    <x v="1"/>
    <x v="1"/>
    <x v="3"/>
    <s v="2025-02-08"/>
    <x v="5"/>
    <n v="0"/>
    <n v="14"/>
  </r>
  <r>
    <s v="L0034"/>
    <s v="Customer_34"/>
    <x v="3"/>
    <x v="4"/>
    <x v="3"/>
    <s v="2025-05-14"/>
    <x v="5"/>
    <n v="0"/>
    <n v="14"/>
  </r>
  <r>
    <s v="L0035"/>
    <s v="Customer_35"/>
    <x v="5"/>
    <x v="3"/>
    <x v="3"/>
    <s v="2025-09-26"/>
    <x v="3"/>
    <n v="0"/>
    <n v="27"/>
  </r>
  <r>
    <s v="L0036"/>
    <s v="Customer_36"/>
    <x v="0"/>
    <x v="2"/>
    <x v="2"/>
    <s v="2025-05-08"/>
    <x v="4"/>
    <n v="59327"/>
    <n v="12"/>
  </r>
  <r>
    <s v="L0037"/>
    <s v="Customer_37"/>
    <x v="4"/>
    <x v="4"/>
    <x v="0"/>
    <s v="2026-02-23"/>
    <x v="4"/>
    <n v="128659"/>
    <n v="14"/>
  </r>
  <r>
    <s v="L0038"/>
    <s v="Customer_38"/>
    <x v="0"/>
    <x v="1"/>
    <x v="2"/>
    <s v="2026-03-11"/>
    <x v="0"/>
    <n v="0"/>
    <n v="10"/>
  </r>
  <r>
    <s v="L0039"/>
    <s v="Customer_39"/>
    <x v="4"/>
    <x v="1"/>
    <x v="1"/>
    <s v="2025-12-08"/>
    <x v="0"/>
    <n v="0"/>
    <n v="30"/>
  </r>
  <r>
    <s v="L0040"/>
    <s v="Customer_40"/>
    <x v="0"/>
    <x v="3"/>
    <x v="4"/>
    <s v="2025-02-25"/>
    <x v="4"/>
    <n v="182133"/>
    <n v="4"/>
  </r>
  <r>
    <s v="L0041"/>
    <s v="Customer_41"/>
    <x v="4"/>
    <x v="3"/>
    <x v="0"/>
    <s v="2026-01-01"/>
    <x v="2"/>
    <n v="0"/>
    <n v="11"/>
  </r>
  <r>
    <s v="L0042"/>
    <s v="Customer_42"/>
    <x v="3"/>
    <x v="3"/>
    <x v="4"/>
    <s v="2026-05-14"/>
    <x v="5"/>
    <n v="0"/>
    <n v="14"/>
  </r>
  <r>
    <s v="L0043"/>
    <s v="Customer_43"/>
    <x v="4"/>
    <x v="2"/>
    <x v="1"/>
    <s v="2025-02-11"/>
    <x v="5"/>
    <n v="0"/>
    <n v="5"/>
  </r>
  <r>
    <s v="L0044"/>
    <s v="Customer_44"/>
    <x v="1"/>
    <x v="4"/>
    <x v="2"/>
    <s v="2026-03-15"/>
    <x v="4"/>
    <n v="331992"/>
    <n v="11"/>
  </r>
  <r>
    <s v="L0045"/>
    <s v="Customer_45"/>
    <x v="1"/>
    <x v="3"/>
    <x v="0"/>
    <s v="2025-06-03"/>
    <x v="0"/>
    <n v="0"/>
    <n v="11"/>
  </r>
  <r>
    <s v="L0046"/>
    <s v="Customer_46"/>
    <x v="3"/>
    <x v="4"/>
    <x v="4"/>
    <s v="2026-02-07"/>
    <x v="2"/>
    <n v="0"/>
    <n v="26"/>
  </r>
  <r>
    <s v="L0047"/>
    <s v="Customer_47"/>
    <x v="4"/>
    <x v="1"/>
    <x v="4"/>
    <s v="2026-01-23"/>
    <x v="5"/>
    <n v="0"/>
    <n v="24"/>
  </r>
  <r>
    <s v="L0048"/>
    <s v="Customer_48"/>
    <x v="1"/>
    <x v="3"/>
    <x v="3"/>
    <s v="2025-06-29"/>
    <x v="1"/>
    <n v="0"/>
    <n v="1"/>
  </r>
  <r>
    <s v="L0049"/>
    <s v="Customer_49"/>
    <x v="3"/>
    <x v="1"/>
    <x v="0"/>
    <s v="2026-01-06"/>
    <x v="1"/>
    <n v="0"/>
    <n v="15"/>
  </r>
  <r>
    <s v="L0050"/>
    <s v="Customer_50"/>
    <x v="3"/>
    <x v="2"/>
    <x v="0"/>
    <s v="2025-03-08"/>
    <x v="0"/>
    <n v="0"/>
    <n v="30"/>
  </r>
  <r>
    <s v="L0051"/>
    <s v="Customer_51"/>
    <x v="5"/>
    <x v="0"/>
    <x v="0"/>
    <s v="2025-08-26"/>
    <x v="4"/>
    <n v="185408"/>
    <n v="9"/>
  </r>
  <r>
    <s v="L0052"/>
    <s v="Customer_52"/>
    <x v="5"/>
    <x v="4"/>
    <x v="1"/>
    <s v="2025-04-24"/>
    <x v="4"/>
    <n v="296099"/>
    <n v="13"/>
  </r>
  <r>
    <s v="L0053"/>
    <s v="Customer_53"/>
    <x v="2"/>
    <x v="4"/>
    <x v="1"/>
    <s v="2025-06-18"/>
    <x v="4"/>
    <n v="392664"/>
    <n v="24"/>
  </r>
  <r>
    <s v="L0054"/>
    <s v="Customer_54"/>
    <x v="5"/>
    <x v="3"/>
    <x v="3"/>
    <s v="2025-03-25"/>
    <x v="1"/>
    <n v="0"/>
    <n v="6"/>
  </r>
  <r>
    <s v="L0055"/>
    <s v="Customer_55"/>
    <x v="5"/>
    <x v="1"/>
    <x v="1"/>
    <s v="2026-03-17"/>
    <x v="5"/>
    <n v="0"/>
    <n v="29"/>
  </r>
  <r>
    <s v="L0056"/>
    <s v="Customer_56"/>
    <x v="0"/>
    <x v="4"/>
    <x v="4"/>
    <s v="2026-03-07"/>
    <x v="5"/>
    <n v="0"/>
    <n v="29"/>
  </r>
  <r>
    <s v="L0057"/>
    <s v="Customer_57"/>
    <x v="4"/>
    <x v="1"/>
    <x v="1"/>
    <s v="2025-09-09"/>
    <x v="1"/>
    <n v="0"/>
    <n v="20"/>
  </r>
  <r>
    <s v="L0058"/>
    <s v="Customer_58"/>
    <x v="5"/>
    <x v="1"/>
    <x v="2"/>
    <s v="2025-03-28"/>
    <x v="4"/>
    <n v="374578"/>
    <n v="8"/>
  </r>
  <r>
    <s v="L0059"/>
    <s v="Customer_59"/>
    <x v="4"/>
    <x v="3"/>
    <x v="0"/>
    <s v="2025-03-29"/>
    <x v="2"/>
    <n v="0"/>
    <n v="10"/>
  </r>
  <r>
    <s v="L0060"/>
    <s v="Customer_60"/>
    <x v="4"/>
    <x v="4"/>
    <x v="1"/>
    <s v="2025-11-18"/>
    <x v="4"/>
    <n v="361232"/>
    <n v="24"/>
  </r>
  <r>
    <s v="L0061"/>
    <s v="Customer_61"/>
    <x v="3"/>
    <x v="3"/>
    <x v="1"/>
    <s v="2025-07-19"/>
    <x v="5"/>
    <n v="0"/>
    <n v="25"/>
  </r>
  <r>
    <s v="L0062"/>
    <s v="Customer_62"/>
    <x v="1"/>
    <x v="1"/>
    <x v="4"/>
    <s v="2025-03-25"/>
    <x v="5"/>
    <n v="0"/>
    <n v="24"/>
  </r>
  <r>
    <s v="L0063"/>
    <s v="Customer_63"/>
    <x v="4"/>
    <x v="3"/>
    <x v="3"/>
    <s v="2025-12-24"/>
    <x v="1"/>
    <n v="0"/>
    <n v="7"/>
  </r>
  <r>
    <s v="L0064"/>
    <s v="Customer_64"/>
    <x v="1"/>
    <x v="4"/>
    <x v="0"/>
    <s v="2025-01-21"/>
    <x v="3"/>
    <n v="0"/>
    <n v="10"/>
  </r>
  <r>
    <s v="L0065"/>
    <s v="Customer_65"/>
    <x v="2"/>
    <x v="3"/>
    <x v="1"/>
    <s v="2025-04-20"/>
    <x v="3"/>
    <n v="0"/>
    <n v="13"/>
  </r>
  <r>
    <s v="L0066"/>
    <s v="Customer_66"/>
    <x v="5"/>
    <x v="3"/>
    <x v="1"/>
    <s v="2025-04-23"/>
    <x v="4"/>
    <n v="102906"/>
    <n v="30"/>
  </r>
  <r>
    <s v="L0067"/>
    <s v="Customer_67"/>
    <x v="2"/>
    <x v="1"/>
    <x v="1"/>
    <s v="2026-04-22"/>
    <x v="0"/>
    <n v="0"/>
    <n v="26"/>
  </r>
  <r>
    <s v="L0068"/>
    <s v="Customer_68"/>
    <x v="1"/>
    <x v="1"/>
    <x v="0"/>
    <s v="2025-12-15"/>
    <x v="0"/>
    <n v="0"/>
    <n v="28"/>
  </r>
  <r>
    <s v="L0069"/>
    <s v="Customer_69"/>
    <x v="0"/>
    <x v="0"/>
    <x v="1"/>
    <s v="2025-12-31"/>
    <x v="1"/>
    <n v="0"/>
    <n v="12"/>
  </r>
  <r>
    <s v="L0070"/>
    <s v="Customer_70"/>
    <x v="0"/>
    <x v="4"/>
    <x v="4"/>
    <s v="2025-03-28"/>
    <x v="1"/>
    <n v="0"/>
    <n v="1"/>
  </r>
  <r>
    <s v="L0071"/>
    <s v="Customer_71"/>
    <x v="4"/>
    <x v="4"/>
    <x v="1"/>
    <s v="2025-02-23"/>
    <x v="2"/>
    <n v="0"/>
    <n v="25"/>
  </r>
  <r>
    <s v="L0072"/>
    <s v="Customer_72"/>
    <x v="5"/>
    <x v="4"/>
    <x v="1"/>
    <s v="2025-05-31"/>
    <x v="3"/>
    <n v="0"/>
    <n v="17"/>
  </r>
  <r>
    <s v="L0073"/>
    <s v="Customer_73"/>
    <x v="2"/>
    <x v="2"/>
    <x v="1"/>
    <s v="2025-12-03"/>
    <x v="0"/>
    <n v="0"/>
    <n v="19"/>
  </r>
  <r>
    <s v="L0074"/>
    <s v="Customer_74"/>
    <x v="4"/>
    <x v="3"/>
    <x v="4"/>
    <s v="2025-01-22"/>
    <x v="1"/>
    <n v="0"/>
    <n v="2"/>
  </r>
  <r>
    <s v="L0075"/>
    <s v="Customer_75"/>
    <x v="4"/>
    <x v="2"/>
    <x v="3"/>
    <s v="2025-01-18"/>
    <x v="2"/>
    <n v="0"/>
    <n v="7"/>
  </r>
  <r>
    <s v="L0076"/>
    <s v="Customer_76"/>
    <x v="1"/>
    <x v="0"/>
    <x v="3"/>
    <s v="2026-03-26"/>
    <x v="1"/>
    <n v="0"/>
    <n v="19"/>
  </r>
  <r>
    <s v="L0077"/>
    <s v="Customer_77"/>
    <x v="0"/>
    <x v="0"/>
    <x v="1"/>
    <s v="2025-03-21"/>
    <x v="1"/>
    <n v="0"/>
    <n v="1"/>
  </r>
  <r>
    <s v="L0078"/>
    <s v="Customer_78"/>
    <x v="3"/>
    <x v="3"/>
    <x v="4"/>
    <s v="2025-10-01"/>
    <x v="3"/>
    <n v="0"/>
    <n v="17"/>
  </r>
  <r>
    <s v="L0079"/>
    <s v="Customer_79"/>
    <x v="4"/>
    <x v="4"/>
    <x v="2"/>
    <s v="2026-02-08"/>
    <x v="3"/>
    <n v="0"/>
    <n v="22"/>
  </r>
  <r>
    <s v="L0080"/>
    <s v="Customer_80"/>
    <x v="4"/>
    <x v="2"/>
    <x v="0"/>
    <s v="2025-10-09"/>
    <x v="3"/>
    <n v="0"/>
    <n v="5"/>
  </r>
  <r>
    <s v="L0081"/>
    <s v="Customer_81"/>
    <x v="3"/>
    <x v="4"/>
    <x v="4"/>
    <s v="2026-03-22"/>
    <x v="2"/>
    <n v="0"/>
    <n v="11"/>
  </r>
  <r>
    <s v="L0082"/>
    <s v="Customer_82"/>
    <x v="3"/>
    <x v="0"/>
    <x v="4"/>
    <s v="2026-02-16"/>
    <x v="0"/>
    <n v="0"/>
    <n v="27"/>
  </r>
  <r>
    <s v="L0083"/>
    <s v="Customer_83"/>
    <x v="4"/>
    <x v="3"/>
    <x v="2"/>
    <s v="2025-09-05"/>
    <x v="0"/>
    <n v="0"/>
    <n v="25"/>
  </r>
  <r>
    <s v="L0084"/>
    <s v="Customer_84"/>
    <x v="2"/>
    <x v="0"/>
    <x v="2"/>
    <s v="2025-05-29"/>
    <x v="5"/>
    <n v="0"/>
    <n v="6"/>
  </r>
  <r>
    <s v="L0085"/>
    <s v="Customer_85"/>
    <x v="0"/>
    <x v="0"/>
    <x v="0"/>
    <s v="2025-03-19"/>
    <x v="2"/>
    <n v="0"/>
    <n v="30"/>
  </r>
  <r>
    <s v="L0086"/>
    <s v="Customer_86"/>
    <x v="1"/>
    <x v="2"/>
    <x v="0"/>
    <s v="2026-01-27"/>
    <x v="1"/>
    <n v="0"/>
    <n v="24"/>
  </r>
  <r>
    <s v="L0087"/>
    <s v="Customer_87"/>
    <x v="0"/>
    <x v="4"/>
    <x v="4"/>
    <s v="2025-08-28"/>
    <x v="5"/>
    <n v="0"/>
    <n v="17"/>
  </r>
  <r>
    <s v="L0088"/>
    <s v="Customer_88"/>
    <x v="5"/>
    <x v="2"/>
    <x v="2"/>
    <s v="2026-04-16"/>
    <x v="5"/>
    <n v="0"/>
    <n v="25"/>
  </r>
  <r>
    <s v="L0089"/>
    <s v="Customer_89"/>
    <x v="2"/>
    <x v="0"/>
    <x v="0"/>
    <s v="2026-02-06"/>
    <x v="5"/>
    <n v="0"/>
    <n v="25"/>
  </r>
  <r>
    <s v="L0090"/>
    <s v="Customer_90"/>
    <x v="5"/>
    <x v="3"/>
    <x v="2"/>
    <s v="2025-06-03"/>
    <x v="0"/>
    <n v="0"/>
    <n v="13"/>
  </r>
  <r>
    <s v="L0091"/>
    <s v="Customer_91"/>
    <x v="2"/>
    <x v="0"/>
    <x v="2"/>
    <s v="2026-04-22"/>
    <x v="2"/>
    <n v="0"/>
    <n v="30"/>
  </r>
  <r>
    <s v="L0092"/>
    <s v="Customer_92"/>
    <x v="0"/>
    <x v="1"/>
    <x v="3"/>
    <s v="2025-04-30"/>
    <x v="2"/>
    <n v="0"/>
    <n v="16"/>
  </r>
  <r>
    <s v="L0093"/>
    <s v="Customer_93"/>
    <x v="2"/>
    <x v="3"/>
    <x v="4"/>
    <s v="2026-03-26"/>
    <x v="0"/>
    <n v="0"/>
    <n v="15"/>
  </r>
  <r>
    <s v="L0094"/>
    <s v="Customer_94"/>
    <x v="5"/>
    <x v="3"/>
    <x v="3"/>
    <s v="2025-11-14"/>
    <x v="5"/>
    <n v="0"/>
    <n v="18"/>
  </r>
  <r>
    <s v="L0095"/>
    <s v="Customer_95"/>
    <x v="1"/>
    <x v="4"/>
    <x v="1"/>
    <s v="2025-08-12"/>
    <x v="1"/>
    <n v="0"/>
    <n v="13"/>
  </r>
  <r>
    <s v="L0096"/>
    <s v="Customer_96"/>
    <x v="0"/>
    <x v="4"/>
    <x v="4"/>
    <s v="2025-12-02"/>
    <x v="5"/>
    <n v="0"/>
    <n v="21"/>
  </r>
  <r>
    <s v="L0097"/>
    <s v="Customer_97"/>
    <x v="4"/>
    <x v="4"/>
    <x v="2"/>
    <s v="2026-02-12"/>
    <x v="3"/>
    <n v="0"/>
    <n v="29"/>
  </r>
  <r>
    <s v="L0098"/>
    <s v="Customer_98"/>
    <x v="5"/>
    <x v="0"/>
    <x v="2"/>
    <s v="2026-01-12"/>
    <x v="1"/>
    <n v="0"/>
    <n v="11"/>
  </r>
  <r>
    <s v="L0099"/>
    <s v="Customer_99"/>
    <x v="2"/>
    <x v="2"/>
    <x v="3"/>
    <s v="2025-08-01"/>
    <x v="0"/>
    <n v="0"/>
    <n v="10"/>
  </r>
  <r>
    <s v="L0100"/>
    <s v="Customer_100"/>
    <x v="1"/>
    <x v="2"/>
    <x v="2"/>
    <s v="2025-04-13"/>
    <x v="4"/>
    <n v="302921"/>
    <n v="26"/>
  </r>
  <r>
    <s v="L0101"/>
    <s v="Customer_101"/>
    <x v="5"/>
    <x v="4"/>
    <x v="3"/>
    <s v="2025-07-05"/>
    <x v="3"/>
    <n v="0"/>
    <n v="1"/>
  </r>
  <r>
    <s v="L0102"/>
    <s v="Customer_102"/>
    <x v="0"/>
    <x v="0"/>
    <x v="3"/>
    <s v="2026-04-11"/>
    <x v="4"/>
    <n v="24566"/>
    <n v="5"/>
  </r>
  <r>
    <s v="L0103"/>
    <s v="Customer_103"/>
    <x v="5"/>
    <x v="0"/>
    <x v="0"/>
    <s v="2025-06-16"/>
    <x v="1"/>
    <n v="0"/>
    <n v="25"/>
  </r>
  <r>
    <s v="L0104"/>
    <s v="Customer_104"/>
    <x v="5"/>
    <x v="4"/>
    <x v="4"/>
    <s v="2026-04-15"/>
    <x v="4"/>
    <n v="250628"/>
    <n v="18"/>
  </r>
  <r>
    <s v="L0105"/>
    <s v="Customer_105"/>
    <x v="5"/>
    <x v="1"/>
    <x v="4"/>
    <s v="2025-04-04"/>
    <x v="1"/>
    <n v="0"/>
    <n v="19"/>
  </r>
  <r>
    <s v="L0106"/>
    <s v="Customer_106"/>
    <x v="2"/>
    <x v="0"/>
    <x v="0"/>
    <s v="2026-03-12"/>
    <x v="0"/>
    <n v="0"/>
    <n v="20"/>
  </r>
  <r>
    <s v="L0107"/>
    <s v="Customer_107"/>
    <x v="1"/>
    <x v="3"/>
    <x v="3"/>
    <s v="2026-02-22"/>
    <x v="3"/>
    <n v="0"/>
    <n v="1"/>
  </r>
  <r>
    <s v="L0108"/>
    <s v="Customer_108"/>
    <x v="3"/>
    <x v="0"/>
    <x v="3"/>
    <s v="2025-05-06"/>
    <x v="3"/>
    <n v="0"/>
    <n v="13"/>
  </r>
  <r>
    <s v="L0109"/>
    <s v="Customer_109"/>
    <x v="0"/>
    <x v="3"/>
    <x v="1"/>
    <s v="2025-02-01"/>
    <x v="1"/>
    <n v="0"/>
    <n v="5"/>
  </r>
  <r>
    <s v="L0110"/>
    <s v="Customer_110"/>
    <x v="0"/>
    <x v="3"/>
    <x v="4"/>
    <s v="2025-01-26"/>
    <x v="5"/>
    <n v="0"/>
    <n v="26"/>
  </r>
  <r>
    <s v="L0111"/>
    <s v="Customer_111"/>
    <x v="1"/>
    <x v="4"/>
    <x v="3"/>
    <s v="2026-01-27"/>
    <x v="4"/>
    <n v="94806"/>
    <n v="15"/>
  </r>
  <r>
    <s v="L0112"/>
    <s v="Customer_112"/>
    <x v="1"/>
    <x v="1"/>
    <x v="3"/>
    <s v="2025-02-20"/>
    <x v="2"/>
    <n v="0"/>
    <n v="3"/>
  </r>
  <r>
    <s v="L0113"/>
    <s v="Customer_113"/>
    <x v="4"/>
    <x v="3"/>
    <x v="0"/>
    <s v="2025-05-03"/>
    <x v="1"/>
    <n v="0"/>
    <n v="20"/>
  </r>
  <r>
    <s v="L0114"/>
    <s v="Customer_114"/>
    <x v="1"/>
    <x v="0"/>
    <x v="0"/>
    <s v="2025-04-22"/>
    <x v="1"/>
    <n v="0"/>
    <n v="19"/>
  </r>
  <r>
    <s v="L0115"/>
    <s v="Customer_115"/>
    <x v="3"/>
    <x v="1"/>
    <x v="0"/>
    <s v="2026-02-23"/>
    <x v="1"/>
    <n v="0"/>
    <n v="5"/>
  </r>
  <r>
    <s v="L0116"/>
    <s v="Customer_116"/>
    <x v="3"/>
    <x v="4"/>
    <x v="1"/>
    <s v="2025-05-24"/>
    <x v="5"/>
    <n v="0"/>
    <n v="20"/>
  </r>
  <r>
    <s v="L0117"/>
    <s v="Customer_117"/>
    <x v="4"/>
    <x v="3"/>
    <x v="3"/>
    <s v="2025-11-25"/>
    <x v="0"/>
    <n v="0"/>
    <n v="12"/>
  </r>
  <r>
    <s v="L0118"/>
    <s v="Customer_118"/>
    <x v="0"/>
    <x v="1"/>
    <x v="0"/>
    <s v="2026-03-19"/>
    <x v="2"/>
    <n v="0"/>
    <n v="2"/>
  </r>
  <r>
    <s v="L0119"/>
    <s v="Customer_119"/>
    <x v="4"/>
    <x v="3"/>
    <x v="1"/>
    <s v="2025-05-22"/>
    <x v="0"/>
    <n v="0"/>
    <n v="20"/>
  </r>
  <r>
    <s v="L0120"/>
    <s v="Customer_120"/>
    <x v="1"/>
    <x v="2"/>
    <x v="4"/>
    <s v="2025-05-30"/>
    <x v="4"/>
    <n v="190034"/>
    <n v="14"/>
  </r>
  <r>
    <s v="L0121"/>
    <s v="Customer_121"/>
    <x v="2"/>
    <x v="4"/>
    <x v="4"/>
    <s v="2025-04-10"/>
    <x v="0"/>
    <n v="0"/>
    <n v="14"/>
  </r>
  <r>
    <s v="L0122"/>
    <s v="Customer_122"/>
    <x v="3"/>
    <x v="0"/>
    <x v="1"/>
    <s v="2025-01-23"/>
    <x v="0"/>
    <n v="0"/>
    <n v="27"/>
  </r>
  <r>
    <s v="L0123"/>
    <s v="Customer_123"/>
    <x v="2"/>
    <x v="3"/>
    <x v="0"/>
    <s v="2025-03-13"/>
    <x v="0"/>
    <n v="0"/>
    <n v="12"/>
  </r>
  <r>
    <s v="L0124"/>
    <s v="Customer_124"/>
    <x v="5"/>
    <x v="4"/>
    <x v="2"/>
    <s v="2025-11-19"/>
    <x v="1"/>
    <n v="0"/>
    <n v="9"/>
  </r>
  <r>
    <s v="L0125"/>
    <s v="Customer_125"/>
    <x v="1"/>
    <x v="3"/>
    <x v="3"/>
    <s v="2026-03-07"/>
    <x v="2"/>
    <n v="0"/>
    <n v="25"/>
  </r>
  <r>
    <s v="L0126"/>
    <s v="Customer_126"/>
    <x v="5"/>
    <x v="1"/>
    <x v="0"/>
    <s v="2026-01-26"/>
    <x v="1"/>
    <n v="0"/>
    <n v="15"/>
  </r>
  <r>
    <s v="L0127"/>
    <s v="Customer_127"/>
    <x v="0"/>
    <x v="1"/>
    <x v="0"/>
    <s v="2026-05-12"/>
    <x v="2"/>
    <n v="0"/>
    <n v="26"/>
  </r>
  <r>
    <s v="L0128"/>
    <s v="Customer_128"/>
    <x v="2"/>
    <x v="2"/>
    <x v="1"/>
    <s v="2026-03-10"/>
    <x v="1"/>
    <n v="0"/>
    <n v="27"/>
  </r>
  <r>
    <s v="L0129"/>
    <s v="Customer_129"/>
    <x v="3"/>
    <x v="2"/>
    <x v="0"/>
    <s v="2025-02-14"/>
    <x v="5"/>
    <n v="0"/>
    <n v="20"/>
  </r>
  <r>
    <s v="L0130"/>
    <s v="Customer_130"/>
    <x v="2"/>
    <x v="0"/>
    <x v="1"/>
    <s v="2026-01-23"/>
    <x v="1"/>
    <n v="0"/>
    <n v="17"/>
  </r>
  <r>
    <s v="L0131"/>
    <s v="Customer_131"/>
    <x v="5"/>
    <x v="3"/>
    <x v="4"/>
    <s v="2025-11-25"/>
    <x v="5"/>
    <n v="0"/>
    <n v="1"/>
  </r>
  <r>
    <s v="L0132"/>
    <s v="Customer_132"/>
    <x v="1"/>
    <x v="1"/>
    <x v="4"/>
    <s v="2025-01-03"/>
    <x v="0"/>
    <n v="0"/>
    <n v="21"/>
  </r>
  <r>
    <s v="L0133"/>
    <s v="Customer_133"/>
    <x v="0"/>
    <x v="2"/>
    <x v="1"/>
    <s v="2025-07-25"/>
    <x v="5"/>
    <n v="0"/>
    <n v="18"/>
  </r>
  <r>
    <s v="L0134"/>
    <s v="Customer_134"/>
    <x v="1"/>
    <x v="3"/>
    <x v="0"/>
    <s v="2026-03-31"/>
    <x v="3"/>
    <n v="0"/>
    <n v="13"/>
  </r>
  <r>
    <s v="L0135"/>
    <s v="Customer_135"/>
    <x v="2"/>
    <x v="0"/>
    <x v="1"/>
    <s v="2025-10-28"/>
    <x v="3"/>
    <n v="0"/>
    <n v="18"/>
  </r>
  <r>
    <s v="L0136"/>
    <s v="Customer_136"/>
    <x v="5"/>
    <x v="2"/>
    <x v="2"/>
    <s v="2026-03-27"/>
    <x v="1"/>
    <n v="0"/>
    <n v="18"/>
  </r>
  <r>
    <s v="L0137"/>
    <s v="Customer_137"/>
    <x v="2"/>
    <x v="4"/>
    <x v="0"/>
    <s v="2025-11-30"/>
    <x v="4"/>
    <n v="217883"/>
    <n v="7"/>
  </r>
  <r>
    <s v="L0138"/>
    <s v="Customer_138"/>
    <x v="3"/>
    <x v="4"/>
    <x v="2"/>
    <s v="2025-11-08"/>
    <x v="5"/>
    <n v="0"/>
    <n v="11"/>
  </r>
  <r>
    <s v="L0139"/>
    <s v="Customer_139"/>
    <x v="2"/>
    <x v="0"/>
    <x v="4"/>
    <s v="2025-02-28"/>
    <x v="4"/>
    <n v="117521"/>
    <n v="4"/>
  </r>
  <r>
    <s v="L0140"/>
    <s v="Customer_140"/>
    <x v="5"/>
    <x v="1"/>
    <x v="2"/>
    <s v="2025-01-27"/>
    <x v="3"/>
    <n v="0"/>
    <n v="2"/>
  </r>
  <r>
    <s v="L0141"/>
    <s v="Customer_141"/>
    <x v="4"/>
    <x v="4"/>
    <x v="4"/>
    <s v="2026-03-15"/>
    <x v="5"/>
    <n v="0"/>
    <n v="12"/>
  </r>
  <r>
    <s v="L0142"/>
    <s v="Customer_142"/>
    <x v="2"/>
    <x v="0"/>
    <x v="3"/>
    <s v="2025-01-10"/>
    <x v="2"/>
    <n v="0"/>
    <n v="10"/>
  </r>
  <r>
    <s v="L0143"/>
    <s v="Customer_143"/>
    <x v="1"/>
    <x v="4"/>
    <x v="4"/>
    <s v="2025-09-09"/>
    <x v="0"/>
    <n v="0"/>
    <n v="25"/>
  </r>
  <r>
    <s v="L0144"/>
    <s v="Customer_144"/>
    <x v="4"/>
    <x v="4"/>
    <x v="1"/>
    <s v="2026-05-12"/>
    <x v="4"/>
    <n v="63253"/>
    <n v="8"/>
  </r>
  <r>
    <s v="L0145"/>
    <s v="Customer_145"/>
    <x v="4"/>
    <x v="3"/>
    <x v="4"/>
    <s v="2025-12-18"/>
    <x v="2"/>
    <n v="0"/>
    <n v="27"/>
  </r>
  <r>
    <s v="L0146"/>
    <s v="Customer_146"/>
    <x v="0"/>
    <x v="2"/>
    <x v="1"/>
    <s v="2025-09-04"/>
    <x v="0"/>
    <n v="0"/>
    <n v="28"/>
  </r>
  <r>
    <s v="L0147"/>
    <s v="Customer_147"/>
    <x v="1"/>
    <x v="2"/>
    <x v="3"/>
    <s v="2025-03-04"/>
    <x v="1"/>
    <n v="0"/>
    <n v="3"/>
  </r>
  <r>
    <s v="L0148"/>
    <s v="Customer_148"/>
    <x v="1"/>
    <x v="1"/>
    <x v="0"/>
    <s v="2025-03-20"/>
    <x v="1"/>
    <n v="0"/>
    <n v="12"/>
  </r>
  <r>
    <s v="L0149"/>
    <s v="Customer_149"/>
    <x v="0"/>
    <x v="3"/>
    <x v="2"/>
    <s v="2026-02-12"/>
    <x v="4"/>
    <n v="63677"/>
    <n v="17"/>
  </r>
  <r>
    <s v="L0150"/>
    <s v="Customer_150"/>
    <x v="0"/>
    <x v="0"/>
    <x v="3"/>
    <s v="2026-02-08"/>
    <x v="0"/>
    <n v="0"/>
    <n v="25"/>
  </r>
  <r>
    <s v="L0151"/>
    <s v="Customer_151"/>
    <x v="0"/>
    <x v="0"/>
    <x v="1"/>
    <s v="2026-03-14"/>
    <x v="4"/>
    <n v="445821"/>
    <n v="6"/>
  </r>
  <r>
    <s v="L0152"/>
    <s v="Customer_152"/>
    <x v="2"/>
    <x v="4"/>
    <x v="3"/>
    <s v="2025-10-10"/>
    <x v="0"/>
    <n v="0"/>
    <n v="20"/>
  </r>
  <r>
    <s v="L0153"/>
    <s v="Customer_153"/>
    <x v="0"/>
    <x v="3"/>
    <x v="2"/>
    <s v="2025-06-28"/>
    <x v="0"/>
    <n v="0"/>
    <n v="18"/>
  </r>
  <r>
    <s v="L0154"/>
    <s v="Customer_154"/>
    <x v="0"/>
    <x v="3"/>
    <x v="0"/>
    <s v="2026-05-01"/>
    <x v="5"/>
    <n v="0"/>
    <n v="22"/>
  </r>
  <r>
    <s v="L0155"/>
    <s v="Customer_155"/>
    <x v="3"/>
    <x v="0"/>
    <x v="0"/>
    <s v="2025-03-05"/>
    <x v="1"/>
    <n v="0"/>
    <n v="19"/>
  </r>
  <r>
    <s v="L0156"/>
    <s v="Customer_156"/>
    <x v="0"/>
    <x v="0"/>
    <x v="3"/>
    <s v="2025-10-13"/>
    <x v="1"/>
    <n v="0"/>
    <n v="11"/>
  </r>
  <r>
    <s v="L0157"/>
    <s v="Customer_157"/>
    <x v="0"/>
    <x v="2"/>
    <x v="4"/>
    <s v="2025-12-27"/>
    <x v="3"/>
    <n v="0"/>
    <n v="28"/>
  </r>
  <r>
    <s v="L0158"/>
    <s v="Customer_158"/>
    <x v="4"/>
    <x v="3"/>
    <x v="2"/>
    <s v="2026-04-23"/>
    <x v="2"/>
    <n v="0"/>
    <n v="17"/>
  </r>
  <r>
    <s v="L0159"/>
    <s v="Customer_159"/>
    <x v="0"/>
    <x v="0"/>
    <x v="2"/>
    <s v="2025-09-15"/>
    <x v="0"/>
    <n v="0"/>
    <n v="14"/>
  </r>
  <r>
    <s v="L0160"/>
    <s v="Customer_160"/>
    <x v="5"/>
    <x v="2"/>
    <x v="1"/>
    <s v="2025-01-29"/>
    <x v="4"/>
    <n v="456040"/>
    <n v="11"/>
  </r>
  <r>
    <s v="L0161"/>
    <s v="Customer_161"/>
    <x v="3"/>
    <x v="3"/>
    <x v="4"/>
    <s v="2026-04-17"/>
    <x v="5"/>
    <n v="0"/>
    <n v="29"/>
  </r>
  <r>
    <s v="L0162"/>
    <s v="Customer_162"/>
    <x v="1"/>
    <x v="4"/>
    <x v="3"/>
    <s v="2025-02-08"/>
    <x v="1"/>
    <n v="0"/>
    <n v="7"/>
  </r>
  <r>
    <s v="L0163"/>
    <s v="Customer_163"/>
    <x v="2"/>
    <x v="1"/>
    <x v="1"/>
    <s v="2025-10-25"/>
    <x v="2"/>
    <n v="0"/>
    <n v="22"/>
  </r>
  <r>
    <s v="L0164"/>
    <s v="Customer_164"/>
    <x v="4"/>
    <x v="0"/>
    <x v="3"/>
    <s v="2026-03-27"/>
    <x v="1"/>
    <n v="0"/>
    <n v="8"/>
  </r>
  <r>
    <s v="L0165"/>
    <s v="Customer_165"/>
    <x v="1"/>
    <x v="3"/>
    <x v="2"/>
    <s v="2026-01-16"/>
    <x v="0"/>
    <n v="0"/>
    <n v="8"/>
  </r>
  <r>
    <s v="L0166"/>
    <s v="Customer_166"/>
    <x v="3"/>
    <x v="3"/>
    <x v="1"/>
    <s v="2025-04-24"/>
    <x v="1"/>
    <n v="0"/>
    <n v="1"/>
  </r>
  <r>
    <s v="L0167"/>
    <s v="Customer_167"/>
    <x v="3"/>
    <x v="0"/>
    <x v="4"/>
    <s v="2025-09-28"/>
    <x v="1"/>
    <n v="0"/>
    <n v="26"/>
  </r>
  <r>
    <s v="L0168"/>
    <s v="Customer_168"/>
    <x v="2"/>
    <x v="4"/>
    <x v="2"/>
    <s v="2026-03-25"/>
    <x v="5"/>
    <n v="0"/>
    <n v="11"/>
  </r>
  <r>
    <s v="L0169"/>
    <s v="Customer_169"/>
    <x v="3"/>
    <x v="2"/>
    <x v="2"/>
    <s v="2025-12-23"/>
    <x v="2"/>
    <n v="0"/>
    <n v="13"/>
  </r>
  <r>
    <s v="L0170"/>
    <s v="Customer_170"/>
    <x v="5"/>
    <x v="3"/>
    <x v="2"/>
    <s v="2026-01-28"/>
    <x v="1"/>
    <n v="0"/>
    <n v="29"/>
  </r>
  <r>
    <s v="L0171"/>
    <s v="Customer_171"/>
    <x v="2"/>
    <x v="4"/>
    <x v="2"/>
    <s v="2025-07-06"/>
    <x v="2"/>
    <n v="0"/>
    <n v="5"/>
  </r>
  <r>
    <s v="L0172"/>
    <s v="Customer_172"/>
    <x v="2"/>
    <x v="2"/>
    <x v="1"/>
    <s v="2025-08-24"/>
    <x v="0"/>
    <n v="0"/>
    <n v="14"/>
  </r>
  <r>
    <s v="L0173"/>
    <s v="Customer_173"/>
    <x v="0"/>
    <x v="4"/>
    <x v="3"/>
    <s v="2025-04-09"/>
    <x v="1"/>
    <n v="0"/>
    <n v="26"/>
  </r>
  <r>
    <s v="L0174"/>
    <s v="Customer_174"/>
    <x v="5"/>
    <x v="4"/>
    <x v="2"/>
    <s v="2025-06-21"/>
    <x v="1"/>
    <n v="0"/>
    <n v="13"/>
  </r>
  <r>
    <s v="L0175"/>
    <s v="Customer_175"/>
    <x v="1"/>
    <x v="3"/>
    <x v="0"/>
    <s v="2025-10-02"/>
    <x v="2"/>
    <n v="0"/>
    <n v="4"/>
  </r>
  <r>
    <s v="L0176"/>
    <s v="Customer_176"/>
    <x v="5"/>
    <x v="4"/>
    <x v="0"/>
    <s v="2026-02-22"/>
    <x v="4"/>
    <n v="21722"/>
    <n v="29"/>
  </r>
  <r>
    <s v="L0177"/>
    <s v="Customer_177"/>
    <x v="1"/>
    <x v="1"/>
    <x v="4"/>
    <s v="2025-05-01"/>
    <x v="4"/>
    <n v="29254"/>
    <n v="30"/>
  </r>
  <r>
    <s v="L0178"/>
    <s v="Customer_178"/>
    <x v="0"/>
    <x v="0"/>
    <x v="4"/>
    <s v="2025-08-07"/>
    <x v="3"/>
    <n v="0"/>
    <n v="10"/>
  </r>
  <r>
    <s v="L0179"/>
    <s v="Customer_179"/>
    <x v="1"/>
    <x v="0"/>
    <x v="2"/>
    <s v="2025-06-08"/>
    <x v="1"/>
    <n v="0"/>
    <n v="8"/>
  </r>
  <r>
    <s v="L0180"/>
    <s v="Customer_180"/>
    <x v="5"/>
    <x v="0"/>
    <x v="1"/>
    <s v="2026-01-11"/>
    <x v="0"/>
    <n v="0"/>
    <n v="17"/>
  </r>
  <r>
    <s v="L0181"/>
    <s v="Customer_181"/>
    <x v="5"/>
    <x v="2"/>
    <x v="2"/>
    <s v="2025-11-04"/>
    <x v="4"/>
    <n v="418470"/>
    <n v="5"/>
  </r>
  <r>
    <s v="L0182"/>
    <s v="Customer_182"/>
    <x v="0"/>
    <x v="3"/>
    <x v="0"/>
    <s v="2026-02-23"/>
    <x v="5"/>
    <n v="0"/>
    <n v="19"/>
  </r>
  <r>
    <s v="L0183"/>
    <s v="Customer_183"/>
    <x v="3"/>
    <x v="0"/>
    <x v="0"/>
    <s v="2025-09-27"/>
    <x v="2"/>
    <n v="0"/>
    <n v="15"/>
  </r>
  <r>
    <s v="L0184"/>
    <s v="Customer_184"/>
    <x v="4"/>
    <x v="4"/>
    <x v="3"/>
    <s v="2026-03-01"/>
    <x v="0"/>
    <n v="0"/>
    <n v="7"/>
  </r>
  <r>
    <s v="L0185"/>
    <s v="Customer_185"/>
    <x v="1"/>
    <x v="1"/>
    <x v="2"/>
    <s v="2025-08-17"/>
    <x v="2"/>
    <n v="0"/>
    <n v="28"/>
  </r>
  <r>
    <s v="L0186"/>
    <s v="Customer_186"/>
    <x v="5"/>
    <x v="0"/>
    <x v="3"/>
    <s v="2025-10-05"/>
    <x v="0"/>
    <n v="0"/>
    <n v="13"/>
  </r>
  <r>
    <s v="L0187"/>
    <s v="Customer_187"/>
    <x v="2"/>
    <x v="2"/>
    <x v="2"/>
    <s v="2025-05-15"/>
    <x v="3"/>
    <n v="0"/>
    <n v="9"/>
  </r>
  <r>
    <s v="L0188"/>
    <s v="Customer_188"/>
    <x v="5"/>
    <x v="3"/>
    <x v="1"/>
    <s v="2025-06-14"/>
    <x v="2"/>
    <n v="0"/>
    <n v="8"/>
  </r>
  <r>
    <s v="L0189"/>
    <s v="Customer_189"/>
    <x v="2"/>
    <x v="1"/>
    <x v="0"/>
    <s v="2026-01-22"/>
    <x v="3"/>
    <n v="0"/>
    <n v="22"/>
  </r>
  <r>
    <s v="L0190"/>
    <s v="Customer_190"/>
    <x v="3"/>
    <x v="3"/>
    <x v="2"/>
    <s v="2025-06-16"/>
    <x v="3"/>
    <n v="0"/>
    <n v="21"/>
  </r>
  <r>
    <s v="L0191"/>
    <s v="Customer_191"/>
    <x v="4"/>
    <x v="0"/>
    <x v="4"/>
    <s v="2025-06-21"/>
    <x v="4"/>
    <n v="152525"/>
    <n v="5"/>
  </r>
  <r>
    <s v="L0192"/>
    <s v="Customer_192"/>
    <x v="1"/>
    <x v="0"/>
    <x v="2"/>
    <s v="2026-04-22"/>
    <x v="2"/>
    <n v="0"/>
    <n v="5"/>
  </r>
  <r>
    <s v="L0193"/>
    <s v="Customer_193"/>
    <x v="2"/>
    <x v="1"/>
    <x v="2"/>
    <s v="2025-07-26"/>
    <x v="5"/>
    <n v="0"/>
    <n v="18"/>
  </r>
  <r>
    <s v="L0194"/>
    <s v="Customer_194"/>
    <x v="4"/>
    <x v="1"/>
    <x v="3"/>
    <s v="2025-04-09"/>
    <x v="4"/>
    <n v="473354"/>
    <n v="10"/>
  </r>
  <r>
    <s v="L0195"/>
    <s v="Customer_195"/>
    <x v="2"/>
    <x v="2"/>
    <x v="0"/>
    <s v="2025-08-21"/>
    <x v="5"/>
    <n v="0"/>
    <n v="1"/>
  </r>
  <r>
    <s v="L0196"/>
    <s v="Customer_196"/>
    <x v="1"/>
    <x v="1"/>
    <x v="1"/>
    <s v="2025-10-24"/>
    <x v="2"/>
    <n v="0"/>
    <n v="19"/>
  </r>
  <r>
    <s v="L0197"/>
    <s v="Customer_197"/>
    <x v="1"/>
    <x v="3"/>
    <x v="4"/>
    <s v="2025-04-02"/>
    <x v="4"/>
    <n v="409274"/>
    <n v="11"/>
  </r>
  <r>
    <s v="L0198"/>
    <s v="Customer_198"/>
    <x v="1"/>
    <x v="0"/>
    <x v="4"/>
    <s v="2025-10-26"/>
    <x v="4"/>
    <n v="320103"/>
    <n v="6"/>
  </r>
  <r>
    <s v="L0199"/>
    <s v="Customer_199"/>
    <x v="5"/>
    <x v="0"/>
    <x v="4"/>
    <s v="2025-08-26"/>
    <x v="4"/>
    <n v="85788"/>
    <n v="11"/>
  </r>
  <r>
    <s v="L0200"/>
    <s v="Customer_200"/>
    <x v="5"/>
    <x v="3"/>
    <x v="0"/>
    <s v="2025-05-13"/>
    <x v="2"/>
    <n v="0"/>
    <n v="13"/>
  </r>
  <r>
    <s v="L0201"/>
    <s v="Customer_201"/>
    <x v="4"/>
    <x v="4"/>
    <x v="2"/>
    <s v="2026-01-15"/>
    <x v="0"/>
    <n v="0"/>
    <n v="14"/>
  </r>
  <r>
    <s v="L0202"/>
    <s v="Customer_202"/>
    <x v="5"/>
    <x v="0"/>
    <x v="2"/>
    <s v="2026-03-30"/>
    <x v="5"/>
    <n v="0"/>
    <n v="30"/>
  </r>
  <r>
    <s v="L0203"/>
    <s v="Customer_203"/>
    <x v="2"/>
    <x v="4"/>
    <x v="3"/>
    <s v="2025-07-05"/>
    <x v="0"/>
    <n v="0"/>
    <n v="22"/>
  </r>
  <r>
    <s v="L0204"/>
    <s v="Customer_204"/>
    <x v="5"/>
    <x v="0"/>
    <x v="0"/>
    <s v="2026-02-27"/>
    <x v="5"/>
    <n v="0"/>
    <n v="19"/>
  </r>
  <r>
    <s v="L0205"/>
    <s v="Customer_205"/>
    <x v="1"/>
    <x v="2"/>
    <x v="1"/>
    <s v="2025-09-30"/>
    <x v="4"/>
    <n v="194399"/>
    <n v="30"/>
  </r>
  <r>
    <s v="L0206"/>
    <s v="Customer_206"/>
    <x v="3"/>
    <x v="3"/>
    <x v="4"/>
    <s v="2025-06-11"/>
    <x v="5"/>
    <n v="0"/>
    <n v="7"/>
  </r>
  <r>
    <s v="L0207"/>
    <s v="Customer_207"/>
    <x v="1"/>
    <x v="3"/>
    <x v="3"/>
    <s v="2025-06-25"/>
    <x v="0"/>
    <n v="0"/>
    <n v="4"/>
  </r>
  <r>
    <s v="L0208"/>
    <s v="Customer_208"/>
    <x v="0"/>
    <x v="1"/>
    <x v="2"/>
    <s v="2025-03-25"/>
    <x v="3"/>
    <n v="0"/>
    <n v="20"/>
  </r>
  <r>
    <s v="L0209"/>
    <s v="Customer_209"/>
    <x v="2"/>
    <x v="0"/>
    <x v="1"/>
    <s v="2026-01-26"/>
    <x v="3"/>
    <n v="0"/>
    <n v="25"/>
  </r>
  <r>
    <s v="L0210"/>
    <s v="Customer_210"/>
    <x v="2"/>
    <x v="0"/>
    <x v="2"/>
    <s v="2025-02-14"/>
    <x v="5"/>
    <n v="0"/>
    <n v="24"/>
  </r>
  <r>
    <s v="L0211"/>
    <s v="Customer_211"/>
    <x v="2"/>
    <x v="2"/>
    <x v="4"/>
    <s v="2025-10-28"/>
    <x v="4"/>
    <n v="274038"/>
    <n v="8"/>
  </r>
  <r>
    <s v="L0212"/>
    <s v="Customer_212"/>
    <x v="5"/>
    <x v="0"/>
    <x v="1"/>
    <s v="2026-01-15"/>
    <x v="1"/>
    <n v="0"/>
    <n v="7"/>
  </r>
  <r>
    <s v="L0213"/>
    <s v="Customer_213"/>
    <x v="3"/>
    <x v="3"/>
    <x v="4"/>
    <s v="2025-07-02"/>
    <x v="5"/>
    <n v="0"/>
    <n v="23"/>
  </r>
  <r>
    <s v="L0214"/>
    <s v="Customer_214"/>
    <x v="2"/>
    <x v="1"/>
    <x v="1"/>
    <s v="2025-12-05"/>
    <x v="0"/>
    <n v="0"/>
    <n v="10"/>
  </r>
  <r>
    <s v="L0215"/>
    <s v="Customer_215"/>
    <x v="0"/>
    <x v="4"/>
    <x v="1"/>
    <s v="2026-02-27"/>
    <x v="3"/>
    <n v="0"/>
    <n v="4"/>
  </r>
  <r>
    <s v="L0216"/>
    <s v="Customer_216"/>
    <x v="1"/>
    <x v="1"/>
    <x v="3"/>
    <s v="2026-04-14"/>
    <x v="5"/>
    <n v="0"/>
    <n v="20"/>
  </r>
  <r>
    <s v="L0217"/>
    <s v="Customer_217"/>
    <x v="1"/>
    <x v="0"/>
    <x v="4"/>
    <s v="2025-03-31"/>
    <x v="1"/>
    <n v="0"/>
    <n v="4"/>
  </r>
  <r>
    <s v="L0218"/>
    <s v="Customer_218"/>
    <x v="2"/>
    <x v="3"/>
    <x v="4"/>
    <s v="2025-02-06"/>
    <x v="2"/>
    <n v="0"/>
    <n v="24"/>
  </r>
  <r>
    <s v="L0219"/>
    <s v="Customer_219"/>
    <x v="0"/>
    <x v="1"/>
    <x v="4"/>
    <s v="2025-09-19"/>
    <x v="0"/>
    <n v="0"/>
    <n v="25"/>
  </r>
  <r>
    <s v="L0220"/>
    <s v="Customer_220"/>
    <x v="4"/>
    <x v="0"/>
    <x v="3"/>
    <s v="2025-08-07"/>
    <x v="3"/>
    <n v="0"/>
    <n v="18"/>
  </r>
  <r>
    <s v="L0221"/>
    <s v="Customer_221"/>
    <x v="1"/>
    <x v="3"/>
    <x v="2"/>
    <s v="2025-05-06"/>
    <x v="2"/>
    <n v="0"/>
    <n v="29"/>
  </r>
  <r>
    <s v="L0222"/>
    <s v="Customer_222"/>
    <x v="3"/>
    <x v="4"/>
    <x v="3"/>
    <s v="2025-10-14"/>
    <x v="2"/>
    <n v="0"/>
    <n v="17"/>
  </r>
  <r>
    <s v="L0223"/>
    <s v="Customer_223"/>
    <x v="2"/>
    <x v="2"/>
    <x v="3"/>
    <s v="2026-01-28"/>
    <x v="1"/>
    <n v="0"/>
    <n v="22"/>
  </r>
  <r>
    <s v="L0224"/>
    <s v="Customer_224"/>
    <x v="3"/>
    <x v="0"/>
    <x v="0"/>
    <s v="2025-11-06"/>
    <x v="3"/>
    <n v="0"/>
    <n v="3"/>
  </r>
  <r>
    <s v="L0225"/>
    <s v="Customer_225"/>
    <x v="4"/>
    <x v="3"/>
    <x v="0"/>
    <s v="2025-04-17"/>
    <x v="3"/>
    <n v="0"/>
    <n v="17"/>
  </r>
  <r>
    <s v="L0226"/>
    <s v="Customer_226"/>
    <x v="2"/>
    <x v="2"/>
    <x v="2"/>
    <s v="2025-08-15"/>
    <x v="4"/>
    <n v="335934"/>
    <n v="20"/>
  </r>
  <r>
    <s v="L0227"/>
    <s v="Customer_227"/>
    <x v="1"/>
    <x v="4"/>
    <x v="2"/>
    <s v="2025-10-17"/>
    <x v="2"/>
    <n v="0"/>
    <n v="3"/>
  </r>
  <r>
    <s v="L0228"/>
    <s v="Customer_228"/>
    <x v="5"/>
    <x v="0"/>
    <x v="3"/>
    <s v="2025-12-22"/>
    <x v="0"/>
    <n v="0"/>
    <n v="20"/>
  </r>
  <r>
    <s v="L0229"/>
    <s v="Customer_229"/>
    <x v="0"/>
    <x v="3"/>
    <x v="3"/>
    <s v="2026-03-24"/>
    <x v="3"/>
    <n v="0"/>
    <n v="17"/>
  </r>
  <r>
    <s v="L0230"/>
    <s v="Customer_230"/>
    <x v="0"/>
    <x v="2"/>
    <x v="1"/>
    <s v="2025-10-15"/>
    <x v="3"/>
    <n v="0"/>
    <n v="23"/>
  </r>
  <r>
    <s v="L0231"/>
    <s v="Customer_231"/>
    <x v="5"/>
    <x v="1"/>
    <x v="2"/>
    <s v="2025-06-11"/>
    <x v="5"/>
    <n v="0"/>
    <n v="8"/>
  </r>
  <r>
    <s v="L0232"/>
    <s v="Customer_232"/>
    <x v="4"/>
    <x v="1"/>
    <x v="1"/>
    <s v="2025-05-01"/>
    <x v="2"/>
    <n v="0"/>
    <n v="10"/>
  </r>
  <r>
    <s v="L0233"/>
    <s v="Customer_233"/>
    <x v="0"/>
    <x v="0"/>
    <x v="3"/>
    <s v="2025-07-11"/>
    <x v="4"/>
    <n v="300361"/>
    <n v="9"/>
  </r>
  <r>
    <s v="L0234"/>
    <s v="Customer_234"/>
    <x v="1"/>
    <x v="2"/>
    <x v="3"/>
    <s v="2025-12-17"/>
    <x v="1"/>
    <n v="0"/>
    <n v="28"/>
  </r>
  <r>
    <s v="L0235"/>
    <s v="Customer_235"/>
    <x v="5"/>
    <x v="3"/>
    <x v="1"/>
    <s v="2026-01-06"/>
    <x v="0"/>
    <n v="0"/>
    <n v="23"/>
  </r>
  <r>
    <s v="L0236"/>
    <s v="Customer_236"/>
    <x v="4"/>
    <x v="1"/>
    <x v="3"/>
    <s v="2025-07-30"/>
    <x v="5"/>
    <n v="0"/>
    <n v="18"/>
  </r>
  <r>
    <s v="L0237"/>
    <s v="Customer_237"/>
    <x v="2"/>
    <x v="3"/>
    <x v="1"/>
    <s v="2025-03-06"/>
    <x v="5"/>
    <n v="0"/>
    <n v="12"/>
  </r>
  <r>
    <s v="L0238"/>
    <s v="Customer_238"/>
    <x v="4"/>
    <x v="1"/>
    <x v="1"/>
    <s v="2025-07-11"/>
    <x v="1"/>
    <n v="0"/>
    <n v="8"/>
  </r>
  <r>
    <s v="L0239"/>
    <s v="Customer_239"/>
    <x v="0"/>
    <x v="1"/>
    <x v="3"/>
    <s v="2026-01-20"/>
    <x v="0"/>
    <n v="0"/>
    <n v="11"/>
  </r>
  <r>
    <s v="L0240"/>
    <s v="Customer_240"/>
    <x v="1"/>
    <x v="2"/>
    <x v="2"/>
    <s v="2025-03-25"/>
    <x v="4"/>
    <n v="356915"/>
    <n v="17"/>
  </r>
  <r>
    <s v="L0241"/>
    <s v="Customer_241"/>
    <x v="2"/>
    <x v="2"/>
    <x v="1"/>
    <s v="2025-09-25"/>
    <x v="4"/>
    <n v="380270"/>
    <n v="26"/>
  </r>
  <r>
    <s v="L0242"/>
    <s v="Customer_242"/>
    <x v="4"/>
    <x v="2"/>
    <x v="3"/>
    <s v="2025-10-04"/>
    <x v="0"/>
    <n v="0"/>
    <n v="21"/>
  </r>
  <r>
    <s v="L0243"/>
    <s v="Customer_243"/>
    <x v="4"/>
    <x v="0"/>
    <x v="0"/>
    <s v="2025-06-22"/>
    <x v="1"/>
    <n v="0"/>
    <n v="7"/>
  </r>
  <r>
    <s v="L0244"/>
    <s v="Customer_244"/>
    <x v="2"/>
    <x v="3"/>
    <x v="1"/>
    <s v="2025-11-14"/>
    <x v="5"/>
    <n v="0"/>
    <n v="14"/>
  </r>
  <r>
    <s v="L0245"/>
    <s v="Customer_245"/>
    <x v="0"/>
    <x v="4"/>
    <x v="1"/>
    <s v="2025-08-23"/>
    <x v="2"/>
    <n v="0"/>
    <n v="9"/>
  </r>
  <r>
    <s v="L0246"/>
    <s v="Customer_246"/>
    <x v="4"/>
    <x v="4"/>
    <x v="0"/>
    <s v="2025-11-20"/>
    <x v="5"/>
    <n v="0"/>
    <n v="17"/>
  </r>
  <r>
    <s v="L0247"/>
    <s v="Customer_247"/>
    <x v="4"/>
    <x v="4"/>
    <x v="3"/>
    <s v="2026-03-16"/>
    <x v="1"/>
    <n v="0"/>
    <n v="30"/>
  </r>
  <r>
    <s v="L0248"/>
    <s v="Customer_248"/>
    <x v="5"/>
    <x v="4"/>
    <x v="1"/>
    <s v="2025-11-09"/>
    <x v="5"/>
    <n v="0"/>
    <n v="7"/>
  </r>
  <r>
    <s v="L0249"/>
    <s v="Customer_249"/>
    <x v="4"/>
    <x v="3"/>
    <x v="0"/>
    <s v="2025-06-20"/>
    <x v="3"/>
    <n v="0"/>
    <n v="5"/>
  </r>
  <r>
    <s v="L0250"/>
    <s v="Customer_250"/>
    <x v="2"/>
    <x v="3"/>
    <x v="3"/>
    <s v="2025-01-27"/>
    <x v="0"/>
    <n v="0"/>
    <n v="19"/>
  </r>
  <r>
    <s v="L0251"/>
    <s v="Customer_251"/>
    <x v="0"/>
    <x v="2"/>
    <x v="0"/>
    <s v="2025-08-04"/>
    <x v="1"/>
    <n v="0"/>
    <n v="12"/>
  </r>
  <r>
    <s v="L0252"/>
    <s v="Customer_252"/>
    <x v="5"/>
    <x v="4"/>
    <x v="1"/>
    <s v="2026-05-15"/>
    <x v="4"/>
    <n v="184148"/>
    <n v="17"/>
  </r>
  <r>
    <s v="L0253"/>
    <s v="Customer_253"/>
    <x v="1"/>
    <x v="4"/>
    <x v="1"/>
    <s v="2025-03-20"/>
    <x v="0"/>
    <n v="0"/>
    <n v="3"/>
  </r>
  <r>
    <s v="L0254"/>
    <s v="Customer_254"/>
    <x v="1"/>
    <x v="3"/>
    <x v="1"/>
    <s v="2025-09-21"/>
    <x v="0"/>
    <n v="0"/>
    <n v="14"/>
  </r>
  <r>
    <s v="L0255"/>
    <s v="Customer_255"/>
    <x v="4"/>
    <x v="4"/>
    <x v="1"/>
    <s v="2026-04-06"/>
    <x v="1"/>
    <n v="0"/>
    <n v="29"/>
  </r>
  <r>
    <s v="L0256"/>
    <s v="Customer_256"/>
    <x v="3"/>
    <x v="2"/>
    <x v="3"/>
    <s v="2025-12-26"/>
    <x v="1"/>
    <n v="0"/>
    <n v="5"/>
  </r>
  <r>
    <s v="L0257"/>
    <s v="Customer_257"/>
    <x v="5"/>
    <x v="4"/>
    <x v="2"/>
    <s v="2025-06-04"/>
    <x v="2"/>
    <n v="0"/>
    <n v="10"/>
  </r>
  <r>
    <s v="L0258"/>
    <s v="Customer_258"/>
    <x v="3"/>
    <x v="3"/>
    <x v="4"/>
    <s v="2025-10-17"/>
    <x v="2"/>
    <n v="0"/>
    <n v="10"/>
  </r>
  <r>
    <s v="L0259"/>
    <s v="Customer_259"/>
    <x v="1"/>
    <x v="1"/>
    <x v="4"/>
    <s v="2026-04-24"/>
    <x v="1"/>
    <n v="0"/>
    <n v="28"/>
  </r>
  <r>
    <s v="L0260"/>
    <s v="Customer_260"/>
    <x v="2"/>
    <x v="1"/>
    <x v="1"/>
    <s v="2026-02-16"/>
    <x v="1"/>
    <n v="0"/>
    <n v="11"/>
  </r>
  <r>
    <s v="L0261"/>
    <s v="Customer_261"/>
    <x v="0"/>
    <x v="3"/>
    <x v="0"/>
    <s v="2026-02-20"/>
    <x v="1"/>
    <n v="0"/>
    <n v="17"/>
  </r>
  <r>
    <s v="L0262"/>
    <s v="Customer_262"/>
    <x v="0"/>
    <x v="2"/>
    <x v="3"/>
    <s v="2025-01-28"/>
    <x v="0"/>
    <n v="0"/>
    <n v="1"/>
  </r>
  <r>
    <s v="L0263"/>
    <s v="Customer_263"/>
    <x v="3"/>
    <x v="3"/>
    <x v="4"/>
    <s v="2025-08-02"/>
    <x v="2"/>
    <n v="0"/>
    <n v="27"/>
  </r>
  <r>
    <s v="L0264"/>
    <s v="Customer_264"/>
    <x v="1"/>
    <x v="4"/>
    <x v="0"/>
    <s v="2025-10-12"/>
    <x v="2"/>
    <n v="0"/>
    <n v="10"/>
  </r>
  <r>
    <s v="L0265"/>
    <s v="Customer_265"/>
    <x v="4"/>
    <x v="2"/>
    <x v="1"/>
    <s v="2025-05-25"/>
    <x v="2"/>
    <n v="0"/>
    <n v="1"/>
  </r>
  <r>
    <s v="L0266"/>
    <s v="Customer_266"/>
    <x v="0"/>
    <x v="2"/>
    <x v="3"/>
    <s v="2025-01-24"/>
    <x v="3"/>
    <n v="0"/>
    <n v="25"/>
  </r>
  <r>
    <s v="L0267"/>
    <s v="Customer_267"/>
    <x v="4"/>
    <x v="2"/>
    <x v="1"/>
    <s v="2026-01-21"/>
    <x v="1"/>
    <n v="0"/>
    <n v="14"/>
  </r>
  <r>
    <s v="L0268"/>
    <s v="Customer_268"/>
    <x v="0"/>
    <x v="4"/>
    <x v="3"/>
    <s v="2025-09-21"/>
    <x v="3"/>
    <n v="0"/>
    <n v="22"/>
  </r>
  <r>
    <s v="L0269"/>
    <s v="Customer_269"/>
    <x v="5"/>
    <x v="4"/>
    <x v="1"/>
    <s v="2025-03-09"/>
    <x v="2"/>
    <n v="0"/>
    <n v="21"/>
  </r>
  <r>
    <s v="L0270"/>
    <s v="Customer_270"/>
    <x v="2"/>
    <x v="1"/>
    <x v="4"/>
    <s v="2026-04-11"/>
    <x v="5"/>
    <n v="0"/>
    <n v="2"/>
  </r>
  <r>
    <s v="L0271"/>
    <s v="Customer_271"/>
    <x v="5"/>
    <x v="0"/>
    <x v="4"/>
    <s v="2025-06-14"/>
    <x v="0"/>
    <n v="0"/>
    <n v="19"/>
  </r>
  <r>
    <s v="L0272"/>
    <s v="Customer_272"/>
    <x v="5"/>
    <x v="4"/>
    <x v="1"/>
    <s v="2026-01-21"/>
    <x v="5"/>
    <n v="0"/>
    <n v="29"/>
  </r>
  <r>
    <s v="L0273"/>
    <s v="Customer_273"/>
    <x v="0"/>
    <x v="3"/>
    <x v="2"/>
    <s v="2025-01-31"/>
    <x v="0"/>
    <n v="0"/>
    <n v="19"/>
  </r>
  <r>
    <s v="L0274"/>
    <s v="Customer_274"/>
    <x v="5"/>
    <x v="0"/>
    <x v="0"/>
    <s v="2026-03-16"/>
    <x v="0"/>
    <n v="0"/>
    <n v="16"/>
  </r>
  <r>
    <s v="L0275"/>
    <s v="Customer_275"/>
    <x v="5"/>
    <x v="2"/>
    <x v="2"/>
    <s v="2025-04-29"/>
    <x v="3"/>
    <n v="0"/>
    <n v="29"/>
  </r>
  <r>
    <s v="L0276"/>
    <s v="Customer_276"/>
    <x v="5"/>
    <x v="3"/>
    <x v="4"/>
    <s v="2025-01-21"/>
    <x v="2"/>
    <n v="0"/>
    <n v="2"/>
  </r>
  <r>
    <s v="L0277"/>
    <s v="Customer_277"/>
    <x v="1"/>
    <x v="2"/>
    <x v="0"/>
    <s v="2025-04-18"/>
    <x v="5"/>
    <n v="0"/>
    <n v="5"/>
  </r>
  <r>
    <s v="L0278"/>
    <s v="Customer_278"/>
    <x v="3"/>
    <x v="4"/>
    <x v="2"/>
    <s v="2025-10-26"/>
    <x v="1"/>
    <n v="0"/>
    <n v="12"/>
  </r>
  <r>
    <s v="L0279"/>
    <s v="Customer_279"/>
    <x v="1"/>
    <x v="3"/>
    <x v="3"/>
    <s v="2026-04-12"/>
    <x v="3"/>
    <n v="0"/>
    <n v="15"/>
  </r>
  <r>
    <s v="L0280"/>
    <s v="Customer_280"/>
    <x v="0"/>
    <x v="0"/>
    <x v="0"/>
    <s v="2025-10-02"/>
    <x v="2"/>
    <n v="0"/>
    <n v="23"/>
  </r>
  <r>
    <s v="L0281"/>
    <s v="Customer_281"/>
    <x v="5"/>
    <x v="4"/>
    <x v="0"/>
    <s v="2026-02-26"/>
    <x v="4"/>
    <n v="182474"/>
    <n v="28"/>
  </r>
  <r>
    <s v="L0282"/>
    <s v="Customer_282"/>
    <x v="1"/>
    <x v="2"/>
    <x v="2"/>
    <s v="2025-10-12"/>
    <x v="5"/>
    <n v="0"/>
    <n v="12"/>
  </r>
  <r>
    <s v="L0283"/>
    <s v="Customer_283"/>
    <x v="2"/>
    <x v="0"/>
    <x v="4"/>
    <s v="2025-01-23"/>
    <x v="5"/>
    <n v="0"/>
    <n v="6"/>
  </r>
  <r>
    <s v="L0284"/>
    <s v="Customer_284"/>
    <x v="1"/>
    <x v="2"/>
    <x v="2"/>
    <s v="2026-01-06"/>
    <x v="3"/>
    <n v="0"/>
    <n v="24"/>
  </r>
  <r>
    <s v="L0285"/>
    <s v="Customer_285"/>
    <x v="1"/>
    <x v="4"/>
    <x v="3"/>
    <s v="2025-09-17"/>
    <x v="0"/>
    <n v="0"/>
    <n v="13"/>
  </r>
  <r>
    <s v="L0286"/>
    <s v="Customer_286"/>
    <x v="3"/>
    <x v="4"/>
    <x v="1"/>
    <s v="2026-04-18"/>
    <x v="3"/>
    <n v="0"/>
    <n v="11"/>
  </r>
  <r>
    <s v="L0287"/>
    <s v="Customer_287"/>
    <x v="5"/>
    <x v="1"/>
    <x v="4"/>
    <s v="2026-04-11"/>
    <x v="4"/>
    <n v="132513"/>
    <n v="10"/>
  </r>
  <r>
    <s v="L0288"/>
    <s v="Customer_288"/>
    <x v="0"/>
    <x v="2"/>
    <x v="2"/>
    <s v="2026-02-07"/>
    <x v="2"/>
    <n v="0"/>
    <n v="28"/>
  </r>
  <r>
    <s v="L0289"/>
    <s v="Customer_289"/>
    <x v="2"/>
    <x v="1"/>
    <x v="3"/>
    <s v="2025-05-01"/>
    <x v="3"/>
    <n v="0"/>
    <n v="29"/>
  </r>
  <r>
    <s v="L0290"/>
    <s v="Customer_290"/>
    <x v="1"/>
    <x v="2"/>
    <x v="0"/>
    <s v="2026-04-01"/>
    <x v="0"/>
    <n v="0"/>
    <n v="28"/>
  </r>
  <r>
    <s v="L0291"/>
    <s v="Customer_291"/>
    <x v="0"/>
    <x v="4"/>
    <x v="2"/>
    <s v="2025-12-14"/>
    <x v="3"/>
    <n v="0"/>
    <n v="8"/>
  </r>
  <r>
    <s v="L0292"/>
    <s v="Customer_292"/>
    <x v="1"/>
    <x v="0"/>
    <x v="2"/>
    <s v="2025-09-06"/>
    <x v="4"/>
    <n v="214080"/>
    <n v="15"/>
  </r>
  <r>
    <s v="L0293"/>
    <s v="Customer_293"/>
    <x v="0"/>
    <x v="2"/>
    <x v="3"/>
    <s v="2025-10-30"/>
    <x v="2"/>
    <n v="0"/>
    <n v="28"/>
  </r>
  <r>
    <s v="L0294"/>
    <s v="Customer_294"/>
    <x v="2"/>
    <x v="2"/>
    <x v="2"/>
    <s v="2025-09-25"/>
    <x v="4"/>
    <n v="265754"/>
    <n v="8"/>
  </r>
  <r>
    <s v="L0295"/>
    <s v="Customer_295"/>
    <x v="2"/>
    <x v="3"/>
    <x v="2"/>
    <s v="2025-08-01"/>
    <x v="0"/>
    <n v="0"/>
    <n v="15"/>
  </r>
  <r>
    <s v="L0296"/>
    <s v="Customer_296"/>
    <x v="5"/>
    <x v="1"/>
    <x v="2"/>
    <s v="2025-01-03"/>
    <x v="4"/>
    <n v="312993"/>
    <n v="21"/>
  </r>
  <r>
    <s v="L0297"/>
    <s v="Customer_297"/>
    <x v="4"/>
    <x v="3"/>
    <x v="3"/>
    <s v="2025-08-05"/>
    <x v="1"/>
    <n v="0"/>
    <n v="26"/>
  </r>
  <r>
    <s v="L0298"/>
    <s v="Customer_298"/>
    <x v="2"/>
    <x v="4"/>
    <x v="0"/>
    <s v="2025-10-15"/>
    <x v="5"/>
    <n v="0"/>
    <n v="10"/>
  </r>
  <r>
    <s v="L0299"/>
    <s v="Customer_299"/>
    <x v="3"/>
    <x v="4"/>
    <x v="2"/>
    <s v="2025-12-04"/>
    <x v="0"/>
    <n v="0"/>
    <n v="19"/>
  </r>
  <r>
    <s v="L0300"/>
    <s v="Customer_300"/>
    <x v="1"/>
    <x v="3"/>
    <x v="2"/>
    <s v="2026-05-03"/>
    <x v="0"/>
    <n v="0"/>
    <n v="3"/>
  </r>
  <r>
    <s v="L0301"/>
    <s v="Customer_301"/>
    <x v="3"/>
    <x v="0"/>
    <x v="1"/>
    <s v="2025-08-30"/>
    <x v="2"/>
    <n v="0"/>
    <n v="13"/>
  </r>
  <r>
    <s v="L0302"/>
    <s v="Customer_302"/>
    <x v="0"/>
    <x v="4"/>
    <x v="0"/>
    <s v="2026-01-22"/>
    <x v="4"/>
    <n v="209285"/>
    <n v="10"/>
  </r>
  <r>
    <s v="L0303"/>
    <s v="Customer_303"/>
    <x v="1"/>
    <x v="2"/>
    <x v="0"/>
    <s v="2025-09-21"/>
    <x v="3"/>
    <n v="0"/>
    <n v="16"/>
  </r>
  <r>
    <s v="L0304"/>
    <s v="Customer_304"/>
    <x v="4"/>
    <x v="1"/>
    <x v="0"/>
    <s v="2025-10-18"/>
    <x v="3"/>
    <n v="0"/>
    <n v="12"/>
  </r>
  <r>
    <s v="L0305"/>
    <s v="Customer_305"/>
    <x v="2"/>
    <x v="1"/>
    <x v="2"/>
    <s v="2025-08-18"/>
    <x v="0"/>
    <n v="0"/>
    <n v="16"/>
  </r>
  <r>
    <s v="L0306"/>
    <s v="Customer_306"/>
    <x v="0"/>
    <x v="0"/>
    <x v="3"/>
    <s v="2025-03-03"/>
    <x v="4"/>
    <n v="326148"/>
    <n v="8"/>
  </r>
  <r>
    <s v="L0307"/>
    <s v="Customer_307"/>
    <x v="0"/>
    <x v="0"/>
    <x v="3"/>
    <s v="2026-01-31"/>
    <x v="2"/>
    <n v="0"/>
    <n v="8"/>
  </r>
  <r>
    <s v="L0308"/>
    <s v="Customer_308"/>
    <x v="4"/>
    <x v="4"/>
    <x v="1"/>
    <s v="2025-11-10"/>
    <x v="3"/>
    <n v="0"/>
    <n v="27"/>
  </r>
  <r>
    <s v="L0309"/>
    <s v="Customer_309"/>
    <x v="4"/>
    <x v="0"/>
    <x v="4"/>
    <s v="2025-06-09"/>
    <x v="4"/>
    <n v="35728"/>
    <n v="28"/>
  </r>
  <r>
    <s v="L0310"/>
    <s v="Customer_310"/>
    <x v="4"/>
    <x v="2"/>
    <x v="1"/>
    <s v="2026-02-25"/>
    <x v="5"/>
    <n v="0"/>
    <n v="24"/>
  </r>
  <r>
    <s v="L0311"/>
    <s v="Customer_311"/>
    <x v="0"/>
    <x v="1"/>
    <x v="2"/>
    <s v="2026-01-26"/>
    <x v="3"/>
    <n v="0"/>
    <n v="24"/>
  </r>
  <r>
    <s v="L0312"/>
    <s v="Customer_312"/>
    <x v="3"/>
    <x v="1"/>
    <x v="1"/>
    <s v="2025-07-09"/>
    <x v="4"/>
    <n v="349374"/>
    <n v="22"/>
  </r>
  <r>
    <s v="L0313"/>
    <s v="Customer_313"/>
    <x v="5"/>
    <x v="3"/>
    <x v="2"/>
    <s v="2025-09-18"/>
    <x v="3"/>
    <n v="0"/>
    <n v="19"/>
  </r>
  <r>
    <s v="L0314"/>
    <s v="Customer_314"/>
    <x v="2"/>
    <x v="1"/>
    <x v="3"/>
    <s v="2025-03-17"/>
    <x v="3"/>
    <n v="0"/>
    <n v="18"/>
  </r>
  <r>
    <s v="L0315"/>
    <s v="Customer_315"/>
    <x v="5"/>
    <x v="4"/>
    <x v="0"/>
    <s v="2025-10-06"/>
    <x v="4"/>
    <n v="482403"/>
    <n v="29"/>
  </r>
  <r>
    <s v="L0316"/>
    <s v="Customer_316"/>
    <x v="2"/>
    <x v="4"/>
    <x v="4"/>
    <s v="2026-03-03"/>
    <x v="0"/>
    <n v="0"/>
    <n v="1"/>
  </r>
  <r>
    <s v="L0317"/>
    <s v="Customer_317"/>
    <x v="5"/>
    <x v="1"/>
    <x v="0"/>
    <s v="2025-05-27"/>
    <x v="0"/>
    <n v="0"/>
    <n v="26"/>
  </r>
  <r>
    <s v="L0318"/>
    <s v="Customer_318"/>
    <x v="1"/>
    <x v="1"/>
    <x v="4"/>
    <s v="2025-02-17"/>
    <x v="0"/>
    <n v="0"/>
    <n v="17"/>
  </r>
  <r>
    <s v="L0319"/>
    <s v="Customer_319"/>
    <x v="5"/>
    <x v="2"/>
    <x v="4"/>
    <s v="2025-11-12"/>
    <x v="3"/>
    <n v="0"/>
    <n v="28"/>
  </r>
  <r>
    <s v="L0320"/>
    <s v="Customer_320"/>
    <x v="2"/>
    <x v="2"/>
    <x v="0"/>
    <s v="2025-08-05"/>
    <x v="3"/>
    <n v="0"/>
    <n v="9"/>
  </r>
  <r>
    <s v="L0321"/>
    <s v="Customer_321"/>
    <x v="2"/>
    <x v="4"/>
    <x v="0"/>
    <s v="2025-03-14"/>
    <x v="3"/>
    <n v="0"/>
    <n v="6"/>
  </r>
  <r>
    <s v="L0322"/>
    <s v="Customer_322"/>
    <x v="4"/>
    <x v="4"/>
    <x v="1"/>
    <s v="2025-11-03"/>
    <x v="2"/>
    <n v="0"/>
    <n v="6"/>
  </r>
  <r>
    <s v="L0323"/>
    <s v="Customer_323"/>
    <x v="4"/>
    <x v="3"/>
    <x v="4"/>
    <s v="2026-03-10"/>
    <x v="5"/>
    <n v="0"/>
    <n v="6"/>
  </r>
  <r>
    <s v="L0324"/>
    <s v="Customer_324"/>
    <x v="4"/>
    <x v="4"/>
    <x v="2"/>
    <s v="2025-02-22"/>
    <x v="2"/>
    <n v="0"/>
    <n v="27"/>
  </r>
  <r>
    <s v="L0325"/>
    <s v="Customer_325"/>
    <x v="0"/>
    <x v="4"/>
    <x v="1"/>
    <s v="2025-10-04"/>
    <x v="5"/>
    <n v="0"/>
    <n v="14"/>
  </r>
  <r>
    <s v="L0326"/>
    <s v="Customer_326"/>
    <x v="2"/>
    <x v="2"/>
    <x v="1"/>
    <s v="2025-08-26"/>
    <x v="3"/>
    <n v="0"/>
    <n v="26"/>
  </r>
  <r>
    <s v="L0327"/>
    <s v="Customer_327"/>
    <x v="5"/>
    <x v="0"/>
    <x v="2"/>
    <s v="2025-07-02"/>
    <x v="1"/>
    <n v="0"/>
    <n v="9"/>
  </r>
  <r>
    <s v="L0328"/>
    <s v="Customer_328"/>
    <x v="0"/>
    <x v="3"/>
    <x v="3"/>
    <s v="2025-01-08"/>
    <x v="0"/>
    <n v="0"/>
    <n v="14"/>
  </r>
  <r>
    <s v="L0329"/>
    <s v="Customer_329"/>
    <x v="1"/>
    <x v="0"/>
    <x v="2"/>
    <s v="2025-11-30"/>
    <x v="2"/>
    <n v="0"/>
    <n v="19"/>
  </r>
  <r>
    <s v="L0330"/>
    <s v="Customer_330"/>
    <x v="5"/>
    <x v="0"/>
    <x v="1"/>
    <s v="2025-03-09"/>
    <x v="2"/>
    <n v="0"/>
    <n v="25"/>
  </r>
  <r>
    <s v="L0331"/>
    <s v="Customer_331"/>
    <x v="4"/>
    <x v="4"/>
    <x v="2"/>
    <s v="2025-11-06"/>
    <x v="4"/>
    <n v="367541"/>
    <n v="25"/>
  </r>
  <r>
    <s v="L0332"/>
    <s v="Customer_332"/>
    <x v="4"/>
    <x v="0"/>
    <x v="0"/>
    <s v="2025-10-18"/>
    <x v="3"/>
    <n v="0"/>
    <n v="30"/>
  </r>
  <r>
    <s v="L0333"/>
    <s v="Customer_333"/>
    <x v="2"/>
    <x v="2"/>
    <x v="0"/>
    <s v="2025-03-02"/>
    <x v="5"/>
    <n v="0"/>
    <n v="24"/>
  </r>
  <r>
    <s v="L0334"/>
    <s v="Customer_334"/>
    <x v="4"/>
    <x v="2"/>
    <x v="1"/>
    <s v="2025-05-21"/>
    <x v="2"/>
    <n v="0"/>
    <n v="18"/>
  </r>
  <r>
    <s v="L0335"/>
    <s v="Customer_335"/>
    <x v="2"/>
    <x v="1"/>
    <x v="4"/>
    <s v="2025-04-08"/>
    <x v="5"/>
    <n v="0"/>
    <n v="29"/>
  </r>
  <r>
    <s v="L0336"/>
    <s v="Customer_336"/>
    <x v="2"/>
    <x v="1"/>
    <x v="4"/>
    <s v="2025-03-30"/>
    <x v="1"/>
    <n v="0"/>
    <n v="28"/>
  </r>
  <r>
    <s v="L0337"/>
    <s v="Customer_337"/>
    <x v="5"/>
    <x v="0"/>
    <x v="0"/>
    <s v="2025-08-09"/>
    <x v="1"/>
    <n v="0"/>
    <n v="13"/>
  </r>
  <r>
    <s v="L0338"/>
    <s v="Customer_338"/>
    <x v="5"/>
    <x v="0"/>
    <x v="0"/>
    <s v="2025-02-17"/>
    <x v="1"/>
    <n v="0"/>
    <n v="12"/>
  </r>
  <r>
    <s v="L0339"/>
    <s v="Customer_339"/>
    <x v="2"/>
    <x v="4"/>
    <x v="2"/>
    <s v="2026-01-23"/>
    <x v="0"/>
    <n v="0"/>
    <n v="20"/>
  </r>
  <r>
    <s v="L0340"/>
    <s v="Customer_340"/>
    <x v="4"/>
    <x v="0"/>
    <x v="4"/>
    <s v="2025-10-28"/>
    <x v="3"/>
    <n v="0"/>
    <n v="24"/>
  </r>
  <r>
    <s v="L0341"/>
    <s v="Customer_341"/>
    <x v="2"/>
    <x v="4"/>
    <x v="4"/>
    <s v="2025-07-15"/>
    <x v="0"/>
    <n v="0"/>
    <n v="28"/>
  </r>
  <r>
    <s v="L0342"/>
    <s v="Customer_342"/>
    <x v="5"/>
    <x v="3"/>
    <x v="0"/>
    <s v="2025-06-24"/>
    <x v="5"/>
    <n v="0"/>
    <n v="8"/>
  </r>
  <r>
    <s v="L0343"/>
    <s v="Customer_343"/>
    <x v="4"/>
    <x v="3"/>
    <x v="2"/>
    <s v="2025-11-30"/>
    <x v="0"/>
    <n v="0"/>
    <n v="26"/>
  </r>
  <r>
    <s v="L0344"/>
    <s v="Customer_344"/>
    <x v="4"/>
    <x v="2"/>
    <x v="1"/>
    <s v="2025-06-19"/>
    <x v="0"/>
    <n v="0"/>
    <n v="18"/>
  </r>
  <r>
    <s v="L0345"/>
    <s v="Customer_345"/>
    <x v="0"/>
    <x v="3"/>
    <x v="2"/>
    <s v="2026-04-29"/>
    <x v="5"/>
    <n v="0"/>
    <n v="15"/>
  </r>
  <r>
    <s v="L0346"/>
    <s v="Customer_346"/>
    <x v="0"/>
    <x v="2"/>
    <x v="1"/>
    <s v="2025-08-03"/>
    <x v="5"/>
    <n v="0"/>
    <n v="12"/>
  </r>
  <r>
    <s v="L0347"/>
    <s v="Customer_347"/>
    <x v="5"/>
    <x v="1"/>
    <x v="2"/>
    <s v="2026-03-12"/>
    <x v="0"/>
    <n v="0"/>
    <n v="6"/>
  </r>
  <r>
    <s v="L0348"/>
    <s v="Customer_348"/>
    <x v="4"/>
    <x v="3"/>
    <x v="3"/>
    <s v="2026-04-05"/>
    <x v="0"/>
    <n v="0"/>
    <n v="29"/>
  </r>
  <r>
    <s v="L0349"/>
    <s v="Customer_349"/>
    <x v="3"/>
    <x v="0"/>
    <x v="1"/>
    <s v="2025-07-19"/>
    <x v="0"/>
    <n v="0"/>
    <n v="28"/>
  </r>
  <r>
    <s v="L0350"/>
    <s v="Customer_350"/>
    <x v="1"/>
    <x v="3"/>
    <x v="0"/>
    <s v="2025-07-04"/>
    <x v="2"/>
    <n v="0"/>
    <n v="21"/>
  </r>
  <r>
    <s v="L0351"/>
    <s v="Customer_351"/>
    <x v="1"/>
    <x v="4"/>
    <x v="3"/>
    <s v="2025-12-15"/>
    <x v="1"/>
    <n v="0"/>
    <n v="25"/>
  </r>
  <r>
    <s v="L0352"/>
    <s v="Customer_352"/>
    <x v="4"/>
    <x v="4"/>
    <x v="0"/>
    <s v="2026-04-25"/>
    <x v="3"/>
    <n v="0"/>
    <n v="20"/>
  </r>
  <r>
    <s v="L0353"/>
    <s v="Customer_353"/>
    <x v="1"/>
    <x v="4"/>
    <x v="1"/>
    <s v="2025-02-07"/>
    <x v="0"/>
    <n v="0"/>
    <n v="21"/>
  </r>
  <r>
    <s v="L0354"/>
    <s v="Customer_354"/>
    <x v="3"/>
    <x v="4"/>
    <x v="3"/>
    <s v="2025-07-17"/>
    <x v="0"/>
    <n v="0"/>
    <n v="12"/>
  </r>
  <r>
    <s v="L0355"/>
    <s v="Customer_355"/>
    <x v="0"/>
    <x v="1"/>
    <x v="1"/>
    <s v="2025-03-18"/>
    <x v="3"/>
    <n v="0"/>
    <n v="25"/>
  </r>
  <r>
    <s v="L0356"/>
    <s v="Customer_356"/>
    <x v="1"/>
    <x v="0"/>
    <x v="2"/>
    <s v="2025-04-23"/>
    <x v="3"/>
    <n v="0"/>
    <n v="19"/>
  </r>
  <r>
    <s v="L0357"/>
    <s v="Customer_357"/>
    <x v="2"/>
    <x v="0"/>
    <x v="1"/>
    <s v="2025-12-21"/>
    <x v="2"/>
    <n v="0"/>
    <n v="4"/>
  </r>
  <r>
    <s v="L0358"/>
    <s v="Customer_358"/>
    <x v="2"/>
    <x v="3"/>
    <x v="0"/>
    <s v="2025-02-01"/>
    <x v="5"/>
    <n v="0"/>
    <n v="22"/>
  </r>
  <r>
    <s v="L0359"/>
    <s v="Customer_359"/>
    <x v="5"/>
    <x v="1"/>
    <x v="0"/>
    <s v="2025-04-22"/>
    <x v="2"/>
    <n v="0"/>
    <n v="2"/>
  </r>
  <r>
    <s v="L0360"/>
    <s v="Customer_360"/>
    <x v="1"/>
    <x v="4"/>
    <x v="1"/>
    <s v="2025-08-21"/>
    <x v="5"/>
    <n v="0"/>
    <n v="10"/>
  </r>
  <r>
    <s v="L0361"/>
    <s v="Customer_361"/>
    <x v="0"/>
    <x v="0"/>
    <x v="3"/>
    <s v="2025-09-08"/>
    <x v="0"/>
    <n v="0"/>
    <n v="7"/>
  </r>
  <r>
    <s v="L0362"/>
    <s v="Customer_362"/>
    <x v="2"/>
    <x v="3"/>
    <x v="1"/>
    <s v="2025-03-29"/>
    <x v="5"/>
    <n v="0"/>
    <n v="19"/>
  </r>
  <r>
    <s v="L0363"/>
    <s v="Customer_363"/>
    <x v="5"/>
    <x v="4"/>
    <x v="4"/>
    <s v="2026-02-27"/>
    <x v="3"/>
    <n v="0"/>
    <n v="14"/>
  </r>
  <r>
    <s v="L0364"/>
    <s v="Customer_364"/>
    <x v="0"/>
    <x v="2"/>
    <x v="0"/>
    <s v="2026-02-22"/>
    <x v="5"/>
    <n v="0"/>
    <n v="3"/>
  </r>
  <r>
    <s v="L0365"/>
    <s v="Customer_365"/>
    <x v="4"/>
    <x v="0"/>
    <x v="1"/>
    <s v="2025-10-04"/>
    <x v="0"/>
    <n v="0"/>
    <n v="10"/>
  </r>
  <r>
    <s v="L0366"/>
    <s v="Customer_366"/>
    <x v="0"/>
    <x v="1"/>
    <x v="4"/>
    <s v="2025-10-17"/>
    <x v="3"/>
    <n v="0"/>
    <n v="10"/>
  </r>
  <r>
    <s v="L0367"/>
    <s v="Customer_367"/>
    <x v="5"/>
    <x v="3"/>
    <x v="3"/>
    <s v="2025-02-03"/>
    <x v="5"/>
    <n v="0"/>
    <n v="28"/>
  </r>
  <r>
    <s v="L0368"/>
    <s v="Customer_368"/>
    <x v="0"/>
    <x v="1"/>
    <x v="3"/>
    <s v="2025-06-25"/>
    <x v="3"/>
    <n v="0"/>
    <n v="30"/>
  </r>
  <r>
    <s v="L0369"/>
    <s v="Customer_369"/>
    <x v="4"/>
    <x v="1"/>
    <x v="0"/>
    <s v="2025-08-02"/>
    <x v="4"/>
    <n v="68722"/>
    <n v="21"/>
  </r>
  <r>
    <s v="L0370"/>
    <s v="Customer_370"/>
    <x v="1"/>
    <x v="3"/>
    <x v="1"/>
    <s v="2026-05-15"/>
    <x v="5"/>
    <n v="0"/>
    <n v="13"/>
  </r>
  <r>
    <s v="L0371"/>
    <s v="Customer_371"/>
    <x v="0"/>
    <x v="0"/>
    <x v="3"/>
    <s v="2025-03-23"/>
    <x v="5"/>
    <n v="0"/>
    <n v="9"/>
  </r>
  <r>
    <s v="L0372"/>
    <s v="Customer_372"/>
    <x v="2"/>
    <x v="2"/>
    <x v="2"/>
    <s v="2026-04-28"/>
    <x v="0"/>
    <n v="0"/>
    <n v="21"/>
  </r>
  <r>
    <s v="L0373"/>
    <s v="Customer_373"/>
    <x v="5"/>
    <x v="1"/>
    <x v="3"/>
    <s v="2025-09-25"/>
    <x v="3"/>
    <n v="0"/>
    <n v="8"/>
  </r>
  <r>
    <s v="L0374"/>
    <s v="Customer_374"/>
    <x v="0"/>
    <x v="1"/>
    <x v="4"/>
    <s v="2025-11-20"/>
    <x v="1"/>
    <n v="0"/>
    <n v="28"/>
  </r>
  <r>
    <s v="L0375"/>
    <s v="Customer_375"/>
    <x v="1"/>
    <x v="0"/>
    <x v="1"/>
    <s v="2026-03-28"/>
    <x v="4"/>
    <n v="205873"/>
    <n v="30"/>
  </r>
  <r>
    <s v="L0376"/>
    <s v="Customer_376"/>
    <x v="0"/>
    <x v="2"/>
    <x v="3"/>
    <s v="2025-10-12"/>
    <x v="2"/>
    <n v="0"/>
    <n v="20"/>
  </r>
  <r>
    <s v="L0377"/>
    <s v="Customer_377"/>
    <x v="3"/>
    <x v="0"/>
    <x v="2"/>
    <s v="2026-03-30"/>
    <x v="2"/>
    <n v="0"/>
    <n v="12"/>
  </r>
  <r>
    <s v="L0378"/>
    <s v="Customer_378"/>
    <x v="2"/>
    <x v="0"/>
    <x v="4"/>
    <s v="2025-11-06"/>
    <x v="0"/>
    <n v="0"/>
    <n v="6"/>
  </r>
  <r>
    <s v="L0379"/>
    <s v="Customer_379"/>
    <x v="4"/>
    <x v="1"/>
    <x v="4"/>
    <s v="2025-10-14"/>
    <x v="0"/>
    <n v="0"/>
    <n v="8"/>
  </r>
  <r>
    <s v="L0380"/>
    <s v="Customer_380"/>
    <x v="5"/>
    <x v="0"/>
    <x v="3"/>
    <s v="2026-03-27"/>
    <x v="4"/>
    <n v="240723"/>
    <n v="27"/>
  </r>
  <r>
    <s v="L0381"/>
    <s v="Customer_381"/>
    <x v="4"/>
    <x v="0"/>
    <x v="3"/>
    <s v="2025-04-23"/>
    <x v="4"/>
    <n v="300525"/>
    <n v="8"/>
  </r>
  <r>
    <s v="L0382"/>
    <s v="Customer_382"/>
    <x v="4"/>
    <x v="1"/>
    <x v="0"/>
    <s v="2025-08-31"/>
    <x v="5"/>
    <n v="0"/>
    <n v="8"/>
  </r>
  <r>
    <s v="L0383"/>
    <s v="Customer_383"/>
    <x v="5"/>
    <x v="2"/>
    <x v="3"/>
    <s v="2026-01-27"/>
    <x v="1"/>
    <n v="0"/>
    <n v="18"/>
  </r>
  <r>
    <s v="L0384"/>
    <s v="Customer_384"/>
    <x v="4"/>
    <x v="1"/>
    <x v="0"/>
    <s v="2026-03-03"/>
    <x v="0"/>
    <n v="0"/>
    <n v="16"/>
  </r>
  <r>
    <s v="L0385"/>
    <s v="Customer_385"/>
    <x v="0"/>
    <x v="4"/>
    <x v="4"/>
    <s v="2025-01-05"/>
    <x v="4"/>
    <n v="340346"/>
    <n v="10"/>
  </r>
  <r>
    <s v="L0386"/>
    <s v="Customer_386"/>
    <x v="4"/>
    <x v="4"/>
    <x v="3"/>
    <s v="2025-11-18"/>
    <x v="0"/>
    <n v="0"/>
    <n v="11"/>
  </r>
  <r>
    <s v="L0387"/>
    <s v="Customer_387"/>
    <x v="5"/>
    <x v="3"/>
    <x v="1"/>
    <s v="2025-07-19"/>
    <x v="3"/>
    <n v="0"/>
    <n v="26"/>
  </r>
  <r>
    <s v="L0388"/>
    <s v="Customer_388"/>
    <x v="4"/>
    <x v="0"/>
    <x v="3"/>
    <s v="2025-03-26"/>
    <x v="3"/>
    <n v="0"/>
    <n v="26"/>
  </r>
  <r>
    <s v="L0389"/>
    <s v="Customer_389"/>
    <x v="0"/>
    <x v="0"/>
    <x v="3"/>
    <s v="2025-03-24"/>
    <x v="2"/>
    <n v="0"/>
    <n v="22"/>
  </r>
  <r>
    <s v="L0390"/>
    <s v="Customer_390"/>
    <x v="2"/>
    <x v="2"/>
    <x v="3"/>
    <s v="2025-12-11"/>
    <x v="1"/>
    <n v="0"/>
    <n v="29"/>
  </r>
  <r>
    <s v="L0391"/>
    <s v="Customer_391"/>
    <x v="4"/>
    <x v="1"/>
    <x v="0"/>
    <s v="2025-06-15"/>
    <x v="2"/>
    <n v="0"/>
    <n v="19"/>
  </r>
  <r>
    <s v="L0392"/>
    <s v="Customer_392"/>
    <x v="5"/>
    <x v="3"/>
    <x v="4"/>
    <s v="2026-01-05"/>
    <x v="3"/>
    <n v="0"/>
    <n v="23"/>
  </r>
  <r>
    <s v="L0393"/>
    <s v="Customer_393"/>
    <x v="4"/>
    <x v="1"/>
    <x v="1"/>
    <s v="2026-02-03"/>
    <x v="5"/>
    <n v="0"/>
    <n v="4"/>
  </r>
  <r>
    <s v="L0394"/>
    <s v="Customer_394"/>
    <x v="1"/>
    <x v="4"/>
    <x v="2"/>
    <s v="2026-01-16"/>
    <x v="3"/>
    <n v="0"/>
    <n v="25"/>
  </r>
  <r>
    <s v="L0395"/>
    <s v="Customer_395"/>
    <x v="1"/>
    <x v="3"/>
    <x v="1"/>
    <s v="2026-03-18"/>
    <x v="0"/>
    <n v="0"/>
    <n v="17"/>
  </r>
  <r>
    <s v="L0396"/>
    <s v="Customer_396"/>
    <x v="2"/>
    <x v="2"/>
    <x v="4"/>
    <s v="2025-02-14"/>
    <x v="0"/>
    <n v="0"/>
    <n v="22"/>
  </r>
  <r>
    <s v="L0397"/>
    <s v="Customer_397"/>
    <x v="1"/>
    <x v="1"/>
    <x v="2"/>
    <s v="2025-06-11"/>
    <x v="1"/>
    <n v="0"/>
    <n v="4"/>
  </r>
  <r>
    <s v="L0398"/>
    <s v="Customer_398"/>
    <x v="2"/>
    <x v="3"/>
    <x v="1"/>
    <s v="2026-03-12"/>
    <x v="5"/>
    <n v="0"/>
    <n v="19"/>
  </r>
  <r>
    <s v="L0399"/>
    <s v="Customer_399"/>
    <x v="1"/>
    <x v="4"/>
    <x v="4"/>
    <s v="2026-02-23"/>
    <x v="2"/>
    <n v="0"/>
    <n v="7"/>
  </r>
  <r>
    <s v="L0400"/>
    <s v="Customer_400"/>
    <x v="1"/>
    <x v="2"/>
    <x v="2"/>
    <s v="2025-03-03"/>
    <x v="3"/>
    <n v="0"/>
    <n v="8"/>
  </r>
  <r>
    <s v="L0401"/>
    <s v="Customer_401"/>
    <x v="3"/>
    <x v="4"/>
    <x v="2"/>
    <s v="2025-04-21"/>
    <x v="5"/>
    <n v="0"/>
    <n v="6"/>
  </r>
  <r>
    <s v="L0402"/>
    <s v="Customer_402"/>
    <x v="0"/>
    <x v="4"/>
    <x v="1"/>
    <s v="2026-02-18"/>
    <x v="2"/>
    <n v="0"/>
    <n v="3"/>
  </r>
  <r>
    <s v="L0403"/>
    <s v="Customer_403"/>
    <x v="1"/>
    <x v="4"/>
    <x v="1"/>
    <s v="2025-12-15"/>
    <x v="3"/>
    <n v="0"/>
    <n v="26"/>
  </r>
  <r>
    <s v="L0404"/>
    <s v="Customer_404"/>
    <x v="2"/>
    <x v="4"/>
    <x v="2"/>
    <s v="2026-02-13"/>
    <x v="0"/>
    <n v="0"/>
    <n v="27"/>
  </r>
  <r>
    <s v="L0405"/>
    <s v="Customer_405"/>
    <x v="5"/>
    <x v="3"/>
    <x v="1"/>
    <s v="2025-07-12"/>
    <x v="2"/>
    <n v="0"/>
    <n v="13"/>
  </r>
  <r>
    <s v="L0406"/>
    <s v="Customer_406"/>
    <x v="4"/>
    <x v="1"/>
    <x v="4"/>
    <s v="2025-04-03"/>
    <x v="5"/>
    <n v="0"/>
    <n v="24"/>
  </r>
  <r>
    <s v="L0407"/>
    <s v="Customer_407"/>
    <x v="4"/>
    <x v="0"/>
    <x v="4"/>
    <s v="2026-04-18"/>
    <x v="3"/>
    <n v="0"/>
    <n v="15"/>
  </r>
  <r>
    <s v="L0408"/>
    <s v="Customer_408"/>
    <x v="1"/>
    <x v="4"/>
    <x v="1"/>
    <s v="2025-10-20"/>
    <x v="0"/>
    <n v="0"/>
    <n v="30"/>
  </r>
  <r>
    <s v="L0409"/>
    <s v="Customer_409"/>
    <x v="1"/>
    <x v="4"/>
    <x v="4"/>
    <s v="2025-08-29"/>
    <x v="5"/>
    <n v="0"/>
    <n v="18"/>
  </r>
  <r>
    <s v="L0410"/>
    <s v="Customer_410"/>
    <x v="3"/>
    <x v="0"/>
    <x v="4"/>
    <s v="2025-11-14"/>
    <x v="4"/>
    <n v="366178"/>
    <n v="28"/>
  </r>
  <r>
    <s v="L0411"/>
    <s v="Customer_411"/>
    <x v="4"/>
    <x v="3"/>
    <x v="1"/>
    <s v="2025-09-02"/>
    <x v="1"/>
    <n v="0"/>
    <n v="3"/>
  </r>
  <r>
    <s v="L0412"/>
    <s v="Customer_412"/>
    <x v="4"/>
    <x v="0"/>
    <x v="2"/>
    <s v="2026-01-29"/>
    <x v="4"/>
    <n v="123464"/>
    <n v="3"/>
  </r>
  <r>
    <s v="L0413"/>
    <s v="Customer_413"/>
    <x v="3"/>
    <x v="4"/>
    <x v="1"/>
    <s v="2026-03-04"/>
    <x v="3"/>
    <n v="0"/>
    <n v="18"/>
  </r>
  <r>
    <s v="L0414"/>
    <s v="Customer_414"/>
    <x v="4"/>
    <x v="1"/>
    <x v="1"/>
    <s v="2026-01-10"/>
    <x v="4"/>
    <n v="344073"/>
    <n v="12"/>
  </r>
  <r>
    <s v="L0415"/>
    <s v="Customer_415"/>
    <x v="4"/>
    <x v="1"/>
    <x v="2"/>
    <s v="2025-05-24"/>
    <x v="5"/>
    <n v="0"/>
    <n v="5"/>
  </r>
  <r>
    <s v="L0416"/>
    <s v="Customer_416"/>
    <x v="1"/>
    <x v="3"/>
    <x v="1"/>
    <s v="2025-02-05"/>
    <x v="5"/>
    <n v="0"/>
    <n v="24"/>
  </r>
  <r>
    <s v="L0417"/>
    <s v="Customer_417"/>
    <x v="2"/>
    <x v="2"/>
    <x v="1"/>
    <s v="2025-08-03"/>
    <x v="5"/>
    <n v="0"/>
    <n v="1"/>
  </r>
  <r>
    <s v="L0418"/>
    <s v="Customer_418"/>
    <x v="5"/>
    <x v="2"/>
    <x v="0"/>
    <s v="2026-02-09"/>
    <x v="3"/>
    <n v="0"/>
    <n v="18"/>
  </r>
  <r>
    <s v="L0419"/>
    <s v="Customer_419"/>
    <x v="2"/>
    <x v="0"/>
    <x v="2"/>
    <s v="2025-07-04"/>
    <x v="2"/>
    <n v="0"/>
    <n v="30"/>
  </r>
  <r>
    <s v="L0420"/>
    <s v="Customer_420"/>
    <x v="3"/>
    <x v="0"/>
    <x v="2"/>
    <s v="2026-04-06"/>
    <x v="4"/>
    <n v="293931"/>
    <n v="14"/>
  </r>
  <r>
    <s v="L0421"/>
    <s v="Customer_421"/>
    <x v="4"/>
    <x v="2"/>
    <x v="3"/>
    <s v="2025-10-08"/>
    <x v="2"/>
    <n v="0"/>
    <n v="14"/>
  </r>
  <r>
    <s v="L0422"/>
    <s v="Customer_422"/>
    <x v="4"/>
    <x v="3"/>
    <x v="4"/>
    <s v="2026-02-07"/>
    <x v="0"/>
    <n v="0"/>
    <n v="11"/>
  </r>
  <r>
    <s v="L0423"/>
    <s v="Customer_423"/>
    <x v="5"/>
    <x v="3"/>
    <x v="2"/>
    <s v="2026-02-02"/>
    <x v="5"/>
    <n v="0"/>
    <n v="27"/>
  </r>
  <r>
    <s v="L0424"/>
    <s v="Customer_424"/>
    <x v="1"/>
    <x v="1"/>
    <x v="1"/>
    <s v="2026-03-31"/>
    <x v="0"/>
    <n v="0"/>
    <n v="30"/>
  </r>
  <r>
    <s v="L0425"/>
    <s v="Customer_425"/>
    <x v="2"/>
    <x v="0"/>
    <x v="1"/>
    <s v="2025-06-26"/>
    <x v="5"/>
    <n v="0"/>
    <n v="24"/>
  </r>
  <r>
    <s v="L0426"/>
    <s v="Customer_426"/>
    <x v="0"/>
    <x v="1"/>
    <x v="4"/>
    <s v="2025-07-29"/>
    <x v="3"/>
    <n v="0"/>
    <n v="17"/>
  </r>
  <r>
    <s v="L0427"/>
    <s v="Customer_427"/>
    <x v="2"/>
    <x v="4"/>
    <x v="4"/>
    <s v="2025-05-08"/>
    <x v="5"/>
    <n v="0"/>
    <n v="21"/>
  </r>
  <r>
    <s v="L0428"/>
    <s v="Customer_428"/>
    <x v="5"/>
    <x v="2"/>
    <x v="1"/>
    <s v="2025-07-05"/>
    <x v="3"/>
    <n v="0"/>
    <n v="6"/>
  </r>
  <r>
    <s v="L0429"/>
    <s v="Customer_429"/>
    <x v="5"/>
    <x v="4"/>
    <x v="3"/>
    <s v="2026-03-09"/>
    <x v="3"/>
    <n v="0"/>
    <n v="29"/>
  </r>
  <r>
    <s v="L0430"/>
    <s v="Customer_430"/>
    <x v="1"/>
    <x v="4"/>
    <x v="3"/>
    <s v="2026-01-05"/>
    <x v="1"/>
    <n v="0"/>
    <n v="30"/>
  </r>
  <r>
    <s v="L0431"/>
    <s v="Customer_431"/>
    <x v="3"/>
    <x v="2"/>
    <x v="1"/>
    <s v="2025-11-23"/>
    <x v="4"/>
    <n v="228379"/>
    <n v="27"/>
  </r>
  <r>
    <s v="L0432"/>
    <s v="Customer_432"/>
    <x v="2"/>
    <x v="0"/>
    <x v="2"/>
    <s v="2025-02-23"/>
    <x v="1"/>
    <n v="0"/>
    <n v="27"/>
  </r>
  <r>
    <s v="L0433"/>
    <s v="Customer_433"/>
    <x v="5"/>
    <x v="3"/>
    <x v="4"/>
    <s v="2025-02-15"/>
    <x v="1"/>
    <n v="0"/>
    <n v="19"/>
  </r>
  <r>
    <s v="L0434"/>
    <s v="Customer_434"/>
    <x v="4"/>
    <x v="4"/>
    <x v="1"/>
    <s v="2025-04-30"/>
    <x v="2"/>
    <n v="0"/>
    <n v="2"/>
  </r>
  <r>
    <s v="L0435"/>
    <s v="Customer_435"/>
    <x v="2"/>
    <x v="0"/>
    <x v="4"/>
    <s v="2025-01-03"/>
    <x v="5"/>
    <n v="0"/>
    <n v="29"/>
  </r>
  <r>
    <s v="L0436"/>
    <s v="Customer_436"/>
    <x v="3"/>
    <x v="2"/>
    <x v="0"/>
    <s v="2025-10-18"/>
    <x v="0"/>
    <n v="0"/>
    <n v="4"/>
  </r>
  <r>
    <s v="L0437"/>
    <s v="Customer_437"/>
    <x v="4"/>
    <x v="3"/>
    <x v="2"/>
    <s v="2025-04-21"/>
    <x v="1"/>
    <n v="0"/>
    <n v="10"/>
  </r>
  <r>
    <s v="L0438"/>
    <s v="Customer_438"/>
    <x v="1"/>
    <x v="1"/>
    <x v="2"/>
    <s v="2026-03-04"/>
    <x v="5"/>
    <n v="0"/>
    <n v="10"/>
  </r>
  <r>
    <s v="L0439"/>
    <s v="Customer_439"/>
    <x v="4"/>
    <x v="2"/>
    <x v="4"/>
    <s v="2025-02-14"/>
    <x v="2"/>
    <n v="0"/>
    <n v="11"/>
  </r>
  <r>
    <s v="L0440"/>
    <s v="Customer_440"/>
    <x v="3"/>
    <x v="1"/>
    <x v="0"/>
    <s v="2025-06-02"/>
    <x v="0"/>
    <n v="0"/>
    <n v="16"/>
  </r>
  <r>
    <s v="L0441"/>
    <s v="Customer_441"/>
    <x v="0"/>
    <x v="2"/>
    <x v="0"/>
    <s v="2025-10-06"/>
    <x v="2"/>
    <n v="0"/>
    <n v="18"/>
  </r>
  <r>
    <s v="L0442"/>
    <s v="Customer_442"/>
    <x v="0"/>
    <x v="4"/>
    <x v="2"/>
    <s v="2025-01-10"/>
    <x v="3"/>
    <n v="0"/>
    <n v="26"/>
  </r>
  <r>
    <s v="L0443"/>
    <s v="Customer_443"/>
    <x v="2"/>
    <x v="2"/>
    <x v="4"/>
    <s v="2025-04-26"/>
    <x v="5"/>
    <n v="0"/>
    <n v="30"/>
  </r>
  <r>
    <s v="L0444"/>
    <s v="Customer_444"/>
    <x v="2"/>
    <x v="1"/>
    <x v="0"/>
    <s v="2025-05-04"/>
    <x v="2"/>
    <n v="0"/>
    <n v="19"/>
  </r>
  <r>
    <s v="L0445"/>
    <s v="Customer_445"/>
    <x v="4"/>
    <x v="3"/>
    <x v="4"/>
    <s v="2025-03-08"/>
    <x v="5"/>
    <n v="0"/>
    <n v="8"/>
  </r>
  <r>
    <s v="L0446"/>
    <s v="Customer_446"/>
    <x v="1"/>
    <x v="1"/>
    <x v="3"/>
    <s v="2025-06-23"/>
    <x v="2"/>
    <n v="0"/>
    <n v="13"/>
  </r>
  <r>
    <s v="L0447"/>
    <s v="Customer_447"/>
    <x v="5"/>
    <x v="2"/>
    <x v="0"/>
    <s v="2025-06-18"/>
    <x v="5"/>
    <n v="0"/>
    <n v="4"/>
  </r>
  <r>
    <s v="L0448"/>
    <s v="Customer_448"/>
    <x v="5"/>
    <x v="1"/>
    <x v="1"/>
    <s v="2025-11-06"/>
    <x v="1"/>
    <n v="0"/>
    <n v="26"/>
  </r>
  <r>
    <s v="L0449"/>
    <s v="Customer_449"/>
    <x v="0"/>
    <x v="4"/>
    <x v="4"/>
    <s v="2026-01-09"/>
    <x v="2"/>
    <n v="0"/>
    <n v="22"/>
  </r>
  <r>
    <s v="L0450"/>
    <s v="Customer_450"/>
    <x v="2"/>
    <x v="1"/>
    <x v="3"/>
    <s v="2026-02-12"/>
    <x v="0"/>
    <n v="0"/>
    <n v="26"/>
  </r>
  <r>
    <s v="L0451"/>
    <s v="Customer_451"/>
    <x v="0"/>
    <x v="3"/>
    <x v="2"/>
    <s v="2025-08-22"/>
    <x v="4"/>
    <n v="141988"/>
    <n v="25"/>
  </r>
  <r>
    <s v="L0452"/>
    <s v="Customer_452"/>
    <x v="2"/>
    <x v="0"/>
    <x v="0"/>
    <s v="2025-06-22"/>
    <x v="5"/>
    <n v="0"/>
    <n v="4"/>
  </r>
  <r>
    <s v="L0453"/>
    <s v="Customer_453"/>
    <x v="5"/>
    <x v="3"/>
    <x v="4"/>
    <s v="2025-05-01"/>
    <x v="2"/>
    <n v="0"/>
    <n v="3"/>
  </r>
  <r>
    <s v="L0454"/>
    <s v="Customer_454"/>
    <x v="0"/>
    <x v="2"/>
    <x v="3"/>
    <s v="2025-05-01"/>
    <x v="3"/>
    <n v="0"/>
    <n v="15"/>
  </r>
  <r>
    <s v="L0455"/>
    <s v="Customer_455"/>
    <x v="0"/>
    <x v="1"/>
    <x v="0"/>
    <s v="2025-10-10"/>
    <x v="1"/>
    <n v="0"/>
    <n v="24"/>
  </r>
  <r>
    <s v="L0456"/>
    <s v="Customer_456"/>
    <x v="2"/>
    <x v="0"/>
    <x v="0"/>
    <s v="2025-09-15"/>
    <x v="1"/>
    <n v="0"/>
    <n v="27"/>
  </r>
  <r>
    <s v="L0457"/>
    <s v="Customer_457"/>
    <x v="4"/>
    <x v="0"/>
    <x v="4"/>
    <s v="2025-07-01"/>
    <x v="1"/>
    <n v="0"/>
    <n v="12"/>
  </r>
  <r>
    <s v="L0458"/>
    <s v="Customer_458"/>
    <x v="1"/>
    <x v="0"/>
    <x v="4"/>
    <s v="2026-02-06"/>
    <x v="4"/>
    <n v="157272"/>
    <n v="24"/>
  </r>
  <r>
    <s v="L0459"/>
    <s v="Customer_459"/>
    <x v="3"/>
    <x v="0"/>
    <x v="0"/>
    <s v="2025-11-06"/>
    <x v="1"/>
    <n v="0"/>
    <n v="13"/>
  </r>
  <r>
    <s v="L0460"/>
    <s v="Customer_460"/>
    <x v="0"/>
    <x v="0"/>
    <x v="3"/>
    <s v="2025-08-25"/>
    <x v="3"/>
    <n v="0"/>
    <n v="16"/>
  </r>
  <r>
    <s v="L0461"/>
    <s v="Customer_461"/>
    <x v="2"/>
    <x v="3"/>
    <x v="2"/>
    <s v="2025-05-02"/>
    <x v="0"/>
    <n v="0"/>
    <n v="17"/>
  </r>
  <r>
    <s v="L0462"/>
    <s v="Customer_462"/>
    <x v="1"/>
    <x v="1"/>
    <x v="3"/>
    <s v="2025-06-24"/>
    <x v="3"/>
    <n v="0"/>
    <n v="21"/>
  </r>
  <r>
    <s v="L0463"/>
    <s v="Customer_463"/>
    <x v="4"/>
    <x v="0"/>
    <x v="4"/>
    <s v="2025-06-26"/>
    <x v="5"/>
    <n v="0"/>
    <n v="9"/>
  </r>
  <r>
    <s v="L0464"/>
    <s v="Customer_464"/>
    <x v="2"/>
    <x v="2"/>
    <x v="1"/>
    <s v="2026-01-18"/>
    <x v="3"/>
    <n v="0"/>
    <n v="2"/>
  </r>
  <r>
    <s v="L0465"/>
    <s v="Customer_465"/>
    <x v="1"/>
    <x v="2"/>
    <x v="2"/>
    <s v="2025-07-12"/>
    <x v="3"/>
    <n v="0"/>
    <n v="7"/>
  </r>
  <r>
    <s v="L0466"/>
    <s v="Customer_466"/>
    <x v="3"/>
    <x v="2"/>
    <x v="0"/>
    <s v="2025-08-08"/>
    <x v="3"/>
    <n v="0"/>
    <n v="17"/>
  </r>
  <r>
    <s v="L0467"/>
    <s v="Customer_467"/>
    <x v="2"/>
    <x v="2"/>
    <x v="4"/>
    <s v="2025-07-06"/>
    <x v="5"/>
    <n v="0"/>
    <n v="5"/>
  </r>
  <r>
    <s v="L0468"/>
    <s v="Customer_468"/>
    <x v="4"/>
    <x v="0"/>
    <x v="0"/>
    <s v="2025-03-29"/>
    <x v="2"/>
    <n v="0"/>
    <n v="21"/>
  </r>
  <r>
    <s v="L0469"/>
    <s v="Customer_469"/>
    <x v="0"/>
    <x v="1"/>
    <x v="4"/>
    <s v="2026-03-02"/>
    <x v="2"/>
    <n v="0"/>
    <n v="20"/>
  </r>
  <r>
    <s v="L0470"/>
    <s v="Customer_470"/>
    <x v="0"/>
    <x v="4"/>
    <x v="3"/>
    <s v="2026-02-25"/>
    <x v="1"/>
    <n v="0"/>
    <n v="5"/>
  </r>
  <r>
    <s v="L0471"/>
    <s v="Customer_471"/>
    <x v="2"/>
    <x v="2"/>
    <x v="0"/>
    <s v="2026-04-01"/>
    <x v="0"/>
    <n v="0"/>
    <n v="8"/>
  </r>
  <r>
    <s v="L0472"/>
    <s v="Customer_472"/>
    <x v="3"/>
    <x v="2"/>
    <x v="0"/>
    <s v="2026-01-01"/>
    <x v="5"/>
    <n v="0"/>
    <n v="4"/>
  </r>
  <r>
    <s v="L0473"/>
    <s v="Customer_473"/>
    <x v="1"/>
    <x v="1"/>
    <x v="1"/>
    <s v="2025-04-13"/>
    <x v="1"/>
    <n v="0"/>
    <n v="21"/>
  </r>
  <r>
    <s v="L0474"/>
    <s v="Customer_474"/>
    <x v="5"/>
    <x v="1"/>
    <x v="1"/>
    <s v="2025-12-21"/>
    <x v="5"/>
    <n v="0"/>
    <n v="11"/>
  </r>
  <r>
    <s v="L0475"/>
    <s v="Customer_475"/>
    <x v="3"/>
    <x v="2"/>
    <x v="3"/>
    <s v="2026-05-16"/>
    <x v="3"/>
    <n v="0"/>
    <n v="7"/>
  </r>
  <r>
    <s v="L0476"/>
    <s v="Customer_476"/>
    <x v="1"/>
    <x v="4"/>
    <x v="0"/>
    <s v="2026-03-20"/>
    <x v="4"/>
    <n v="83898"/>
    <n v="24"/>
  </r>
  <r>
    <s v="L0477"/>
    <s v="Customer_477"/>
    <x v="4"/>
    <x v="3"/>
    <x v="4"/>
    <s v="2025-09-27"/>
    <x v="2"/>
    <n v="0"/>
    <n v="28"/>
  </r>
  <r>
    <s v="L0478"/>
    <s v="Customer_478"/>
    <x v="2"/>
    <x v="2"/>
    <x v="1"/>
    <s v="2025-10-18"/>
    <x v="5"/>
    <n v="0"/>
    <n v="21"/>
  </r>
  <r>
    <s v="L0479"/>
    <s v="Customer_479"/>
    <x v="3"/>
    <x v="0"/>
    <x v="4"/>
    <s v="2025-09-13"/>
    <x v="5"/>
    <n v="0"/>
    <n v="7"/>
  </r>
  <r>
    <s v="L0480"/>
    <s v="Customer_480"/>
    <x v="5"/>
    <x v="4"/>
    <x v="3"/>
    <s v="2025-02-23"/>
    <x v="4"/>
    <n v="213413"/>
    <n v="21"/>
  </r>
  <r>
    <s v="L0481"/>
    <s v="Customer_481"/>
    <x v="5"/>
    <x v="0"/>
    <x v="0"/>
    <s v="2025-11-27"/>
    <x v="1"/>
    <n v="0"/>
    <n v="13"/>
  </r>
  <r>
    <s v="L0482"/>
    <s v="Customer_482"/>
    <x v="0"/>
    <x v="2"/>
    <x v="2"/>
    <s v="2026-04-08"/>
    <x v="1"/>
    <n v="0"/>
    <n v="7"/>
  </r>
  <r>
    <s v="L0483"/>
    <s v="Customer_483"/>
    <x v="3"/>
    <x v="3"/>
    <x v="3"/>
    <s v="2026-04-01"/>
    <x v="5"/>
    <n v="0"/>
    <n v="27"/>
  </r>
  <r>
    <s v="L0484"/>
    <s v="Customer_484"/>
    <x v="4"/>
    <x v="1"/>
    <x v="0"/>
    <s v="2025-02-10"/>
    <x v="1"/>
    <n v="0"/>
    <n v="19"/>
  </r>
  <r>
    <s v="L0485"/>
    <s v="Customer_485"/>
    <x v="2"/>
    <x v="1"/>
    <x v="2"/>
    <s v="2025-03-23"/>
    <x v="4"/>
    <n v="212621"/>
    <n v="11"/>
  </r>
  <r>
    <s v="L0486"/>
    <s v="Customer_486"/>
    <x v="3"/>
    <x v="0"/>
    <x v="2"/>
    <s v="2025-11-02"/>
    <x v="2"/>
    <n v="0"/>
    <n v="21"/>
  </r>
  <r>
    <s v="L0487"/>
    <s v="Customer_487"/>
    <x v="1"/>
    <x v="3"/>
    <x v="3"/>
    <s v="2025-02-03"/>
    <x v="2"/>
    <n v="0"/>
    <n v="7"/>
  </r>
  <r>
    <s v="L0488"/>
    <s v="Customer_488"/>
    <x v="2"/>
    <x v="1"/>
    <x v="0"/>
    <s v="2026-04-06"/>
    <x v="3"/>
    <n v="0"/>
    <n v="20"/>
  </r>
  <r>
    <s v="L0489"/>
    <s v="Customer_489"/>
    <x v="0"/>
    <x v="4"/>
    <x v="1"/>
    <s v="2025-07-01"/>
    <x v="0"/>
    <n v="0"/>
    <n v="20"/>
  </r>
  <r>
    <s v="L0490"/>
    <s v="Customer_490"/>
    <x v="4"/>
    <x v="4"/>
    <x v="2"/>
    <s v="2025-08-17"/>
    <x v="5"/>
    <n v="0"/>
    <n v="2"/>
  </r>
  <r>
    <s v="L0491"/>
    <s v="Customer_491"/>
    <x v="1"/>
    <x v="1"/>
    <x v="4"/>
    <s v="2025-07-26"/>
    <x v="0"/>
    <n v="0"/>
    <n v="23"/>
  </r>
  <r>
    <s v="L0492"/>
    <s v="Customer_492"/>
    <x v="3"/>
    <x v="0"/>
    <x v="4"/>
    <s v="2026-04-05"/>
    <x v="1"/>
    <n v="0"/>
    <n v="2"/>
  </r>
  <r>
    <s v="L0493"/>
    <s v="Customer_493"/>
    <x v="4"/>
    <x v="2"/>
    <x v="0"/>
    <s v="2025-08-29"/>
    <x v="3"/>
    <n v="0"/>
    <n v="1"/>
  </r>
  <r>
    <s v="L0494"/>
    <s v="Customer_494"/>
    <x v="1"/>
    <x v="0"/>
    <x v="3"/>
    <s v="2025-07-14"/>
    <x v="0"/>
    <n v="0"/>
    <n v="9"/>
  </r>
  <r>
    <s v="L0495"/>
    <s v="Customer_495"/>
    <x v="1"/>
    <x v="0"/>
    <x v="0"/>
    <s v="2025-05-07"/>
    <x v="4"/>
    <n v="245350"/>
    <n v="10"/>
  </r>
  <r>
    <s v="L0496"/>
    <s v="Customer_496"/>
    <x v="2"/>
    <x v="4"/>
    <x v="2"/>
    <s v="2025-07-26"/>
    <x v="3"/>
    <n v="0"/>
    <n v="19"/>
  </r>
  <r>
    <s v="L0497"/>
    <s v="Customer_497"/>
    <x v="5"/>
    <x v="4"/>
    <x v="2"/>
    <s v="2025-10-08"/>
    <x v="4"/>
    <n v="217935"/>
    <n v="29"/>
  </r>
  <r>
    <s v="L0498"/>
    <s v="Customer_498"/>
    <x v="3"/>
    <x v="4"/>
    <x v="3"/>
    <s v="2025-05-05"/>
    <x v="2"/>
    <n v="0"/>
    <n v="27"/>
  </r>
  <r>
    <s v="L0499"/>
    <s v="Customer_499"/>
    <x v="5"/>
    <x v="2"/>
    <x v="3"/>
    <s v="2025-02-11"/>
    <x v="3"/>
    <n v="0"/>
    <n v="30"/>
  </r>
  <r>
    <s v="L0500"/>
    <s v="Customer_500"/>
    <x v="5"/>
    <x v="0"/>
    <x v="1"/>
    <s v="2025-02-01"/>
    <x v="5"/>
    <n v="0"/>
    <n v="21"/>
  </r>
  <r>
    <s v="L0501"/>
    <s v="Customer_501"/>
    <x v="3"/>
    <x v="3"/>
    <x v="2"/>
    <s v="2026-02-20"/>
    <x v="4"/>
    <n v="428465"/>
    <n v="5"/>
  </r>
  <r>
    <s v="L0502"/>
    <s v="Customer_502"/>
    <x v="2"/>
    <x v="1"/>
    <x v="2"/>
    <s v="2025-07-27"/>
    <x v="3"/>
    <n v="0"/>
    <n v="22"/>
  </r>
  <r>
    <s v="L0503"/>
    <s v="Customer_503"/>
    <x v="0"/>
    <x v="1"/>
    <x v="0"/>
    <s v="2025-10-26"/>
    <x v="1"/>
    <n v="0"/>
    <n v="3"/>
  </r>
  <r>
    <s v="L0504"/>
    <s v="Customer_504"/>
    <x v="3"/>
    <x v="0"/>
    <x v="4"/>
    <s v="2026-04-08"/>
    <x v="4"/>
    <n v="453478"/>
    <n v="14"/>
  </r>
  <r>
    <s v="L0505"/>
    <s v="Customer_505"/>
    <x v="4"/>
    <x v="3"/>
    <x v="3"/>
    <s v="2025-04-17"/>
    <x v="1"/>
    <n v="0"/>
    <n v="10"/>
  </r>
  <r>
    <s v="L0506"/>
    <s v="Customer_506"/>
    <x v="0"/>
    <x v="0"/>
    <x v="3"/>
    <s v="2025-10-04"/>
    <x v="1"/>
    <n v="0"/>
    <n v="20"/>
  </r>
  <r>
    <s v="L0507"/>
    <s v="Customer_507"/>
    <x v="3"/>
    <x v="0"/>
    <x v="4"/>
    <s v="2025-08-28"/>
    <x v="5"/>
    <n v="0"/>
    <n v="8"/>
  </r>
  <r>
    <s v="L0508"/>
    <s v="Customer_508"/>
    <x v="0"/>
    <x v="4"/>
    <x v="3"/>
    <s v="2025-06-12"/>
    <x v="1"/>
    <n v="0"/>
    <n v="1"/>
  </r>
  <r>
    <s v="L0509"/>
    <s v="Customer_509"/>
    <x v="3"/>
    <x v="4"/>
    <x v="2"/>
    <s v="2026-02-11"/>
    <x v="2"/>
    <n v="0"/>
    <n v="24"/>
  </r>
  <r>
    <s v="L0510"/>
    <s v="Customer_510"/>
    <x v="2"/>
    <x v="2"/>
    <x v="4"/>
    <s v="2025-11-06"/>
    <x v="0"/>
    <n v="0"/>
    <n v="10"/>
  </r>
  <r>
    <s v="L0511"/>
    <s v="Customer_511"/>
    <x v="0"/>
    <x v="4"/>
    <x v="0"/>
    <s v="2025-02-05"/>
    <x v="5"/>
    <n v="0"/>
    <n v="9"/>
  </r>
  <r>
    <s v="L0512"/>
    <s v="Customer_512"/>
    <x v="1"/>
    <x v="4"/>
    <x v="4"/>
    <s v="2025-06-19"/>
    <x v="5"/>
    <n v="0"/>
    <n v="28"/>
  </r>
  <r>
    <s v="L0513"/>
    <s v="Customer_513"/>
    <x v="4"/>
    <x v="2"/>
    <x v="3"/>
    <s v="2026-01-19"/>
    <x v="3"/>
    <n v="0"/>
    <n v="7"/>
  </r>
  <r>
    <s v="L0514"/>
    <s v="Customer_514"/>
    <x v="3"/>
    <x v="0"/>
    <x v="4"/>
    <s v="2025-02-12"/>
    <x v="2"/>
    <n v="0"/>
    <n v="25"/>
  </r>
  <r>
    <s v="L0515"/>
    <s v="Customer_515"/>
    <x v="0"/>
    <x v="1"/>
    <x v="4"/>
    <s v="2025-10-20"/>
    <x v="5"/>
    <n v="0"/>
    <n v="29"/>
  </r>
  <r>
    <s v="L0516"/>
    <s v="Customer_516"/>
    <x v="1"/>
    <x v="2"/>
    <x v="1"/>
    <s v="2025-03-08"/>
    <x v="5"/>
    <n v="0"/>
    <n v="28"/>
  </r>
  <r>
    <s v="L0517"/>
    <s v="Customer_517"/>
    <x v="3"/>
    <x v="0"/>
    <x v="1"/>
    <s v="2025-11-08"/>
    <x v="4"/>
    <n v="444643"/>
    <n v="23"/>
  </r>
  <r>
    <s v="L0518"/>
    <s v="Customer_518"/>
    <x v="0"/>
    <x v="4"/>
    <x v="4"/>
    <s v="2025-11-25"/>
    <x v="1"/>
    <n v="0"/>
    <n v="21"/>
  </r>
  <r>
    <s v="L0519"/>
    <s v="Customer_519"/>
    <x v="3"/>
    <x v="1"/>
    <x v="2"/>
    <s v="2025-02-07"/>
    <x v="2"/>
    <n v="0"/>
    <n v="9"/>
  </r>
  <r>
    <s v="L0520"/>
    <s v="Customer_520"/>
    <x v="3"/>
    <x v="1"/>
    <x v="0"/>
    <s v="2025-09-08"/>
    <x v="4"/>
    <n v="327962"/>
    <n v="23"/>
  </r>
  <r>
    <s v="L0521"/>
    <s v="Customer_521"/>
    <x v="2"/>
    <x v="3"/>
    <x v="0"/>
    <s v="2025-11-18"/>
    <x v="5"/>
    <n v="0"/>
    <n v="25"/>
  </r>
  <r>
    <s v="L0522"/>
    <s v="Customer_522"/>
    <x v="1"/>
    <x v="3"/>
    <x v="3"/>
    <s v="2025-12-26"/>
    <x v="1"/>
    <n v="0"/>
    <n v="15"/>
  </r>
  <r>
    <s v="L0523"/>
    <s v="Customer_523"/>
    <x v="5"/>
    <x v="2"/>
    <x v="3"/>
    <s v="2025-09-20"/>
    <x v="2"/>
    <n v="0"/>
    <n v="25"/>
  </r>
  <r>
    <s v="L0524"/>
    <s v="Customer_524"/>
    <x v="3"/>
    <x v="4"/>
    <x v="0"/>
    <s v="2025-09-26"/>
    <x v="5"/>
    <n v="0"/>
    <n v="1"/>
  </r>
  <r>
    <s v="L0525"/>
    <s v="Customer_525"/>
    <x v="4"/>
    <x v="1"/>
    <x v="0"/>
    <s v="2025-03-04"/>
    <x v="2"/>
    <n v="0"/>
    <n v="5"/>
  </r>
  <r>
    <s v="L0526"/>
    <s v="Customer_526"/>
    <x v="3"/>
    <x v="1"/>
    <x v="3"/>
    <s v="2026-04-16"/>
    <x v="0"/>
    <n v="0"/>
    <n v="28"/>
  </r>
  <r>
    <s v="L0527"/>
    <s v="Customer_527"/>
    <x v="0"/>
    <x v="4"/>
    <x v="4"/>
    <s v="2025-03-17"/>
    <x v="5"/>
    <n v="0"/>
    <n v="13"/>
  </r>
  <r>
    <s v="L0528"/>
    <s v="Customer_528"/>
    <x v="1"/>
    <x v="0"/>
    <x v="4"/>
    <s v="2026-04-07"/>
    <x v="0"/>
    <n v="0"/>
    <n v="27"/>
  </r>
  <r>
    <s v="L0529"/>
    <s v="Customer_529"/>
    <x v="0"/>
    <x v="0"/>
    <x v="2"/>
    <s v="2025-10-29"/>
    <x v="4"/>
    <n v="176567"/>
    <n v="2"/>
  </r>
  <r>
    <s v="L0530"/>
    <s v="Customer_530"/>
    <x v="0"/>
    <x v="3"/>
    <x v="2"/>
    <s v="2025-02-02"/>
    <x v="1"/>
    <n v="0"/>
    <n v="25"/>
  </r>
  <r>
    <s v="L0531"/>
    <s v="Customer_531"/>
    <x v="1"/>
    <x v="0"/>
    <x v="0"/>
    <s v="2026-03-06"/>
    <x v="1"/>
    <n v="0"/>
    <n v="21"/>
  </r>
  <r>
    <s v="L0532"/>
    <s v="Customer_532"/>
    <x v="5"/>
    <x v="0"/>
    <x v="4"/>
    <s v="2025-11-06"/>
    <x v="1"/>
    <n v="0"/>
    <n v="14"/>
  </r>
  <r>
    <s v="L0533"/>
    <s v="Customer_533"/>
    <x v="1"/>
    <x v="0"/>
    <x v="2"/>
    <s v="2026-02-01"/>
    <x v="4"/>
    <n v="334818"/>
    <n v="26"/>
  </r>
  <r>
    <s v="L0534"/>
    <s v="Customer_534"/>
    <x v="2"/>
    <x v="3"/>
    <x v="1"/>
    <s v="2025-02-18"/>
    <x v="1"/>
    <n v="0"/>
    <n v="3"/>
  </r>
  <r>
    <s v="L0535"/>
    <s v="Customer_535"/>
    <x v="0"/>
    <x v="1"/>
    <x v="3"/>
    <s v="2026-01-14"/>
    <x v="1"/>
    <n v="0"/>
    <n v="7"/>
  </r>
  <r>
    <s v="L0536"/>
    <s v="Customer_536"/>
    <x v="0"/>
    <x v="4"/>
    <x v="3"/>
    <s v="2025-06-14"/>
    <x v="3"/>
    <n v="0"/>
    <n v="7"/>
  </r>
  <r>
    <s v="L0537"/>
    <s v="Customer_537"/>
    <x v="3"/>
    <x v="4"/>
    <x v="2"/>
    <s v="2025-01-03"/>
    <x v="0"/>
    <n v="0"/>
    <n v="27"/>
  </r>
  <r>
    <s v="L0538"/>
    <s v="Customer_538"/>
    <x v="0"/>
    <x v="4"/>
    <x v="0"/>
    <s v="2026-04-22"/>
    <x v="3"/>
    <n v="0"/>
    <n v="10"/>
  </r>
  <r>
    <s v="L0539"/>
    <s v="Customer_539"/>
    <x v="0"/>
    <x v="1"/>
    <x v="3"/>
    <s v="2025-07-29"/>
    <x v="1"/>
    <n v="0"/>
    <n v="6"/>
  </r>
  <r>
    <s v="L0540"/>
    <s v="Customer_540"/>
    <x v="2"/>
    <x v="4"/>
    <x v="0"/>
    <s v="2025-03-21"/>
    <x v="1"/>
    <n v="0"/>
    <n v="22"/>
  </r>
  <r>
    <s v="L0541"/>
    <s v="Customer_541"/>
    <x v="2"/>
    <x v="4"/>
    <x v="2"/>
    <s v="2025-07-26"/>
    <x v="4"/>
    <n v="370424"/>
    <n v="24"/>
  </r>
  <r>
    <s v="L0542"/>
    <s v="Customer_542"/>
    <x v="2"/>
    <x v="4"/>
    <x v="1"/>
    <s v="2026-03-28"/>
    <x v="4"/>
    <n v="240234"/>
    <n v="12"/>
  </r>
  <r>
    <s v="L0543"/>
    <s v="Customer_543"/>
    <x v="4"/>
    <x v="2"/>
    <x v="1"/>
    <s v="2026-05-09"/>
    <x v="3"/>
    <n v="0"/>
    <n v="11"/>
  </r>
  <r>
    <s v="L0544"/>
    <s v="Customer_544"/>
    <x v="3"/>
    <x v="3"/>
    <x v="4"/>
    <s v="2025-03-23"/>
    <x v="4"/>
    <n v="381516"/>
    <n v="20"/>
  </r>
  <r>
    <s v="L0545"/>
    <s v="Customer_545"/>
    <x v="3"/>
    <x v="3"/>
    <x v="3"/>
    <s v="2025-08-11"/>
    <x v="5"/>
    <n v="0"/>
    <n v="15"/>
  </r>
  <r>
    <s v="L0546"/>
    <s v="Customer_546"/>
    <x v="2"/>
    <x v="4"/>
    <x v="4"/>
    <s v="2026-04-28"/>
    <x v="4"/>
    <n v="80830"/>
    <n v="10"/>
  </r>
  <r>
    <s v="L0547"/>
    <s v="Customer_547"/>
    <x v="1"/>
    <x v="4"/>
    <x v="0"/>
    <s v="2025-05-23"/>
    <x v="4"/>
    <n v="120202"/>
    <n v="2"/>
  </r>
  <r>
    <s v="L0548"/>
    <s v="Customer_548"/>
    <x v="5"/>
    <x v="0"/>
    <x v="2"/>
    <s v="2025-09-05"/>
    <x v="1"/>
    <n v="0"/>
    <n v="11"/>
  </r>
  <r>
    <s v="L0549"/>
    <s v="Customer_549"/>
    <x v="5"/>
    <x v="1"/>
    <x v="2"/>
    <s v="2026-02-11"/>
    <x v="3"/>
    <n v="0"/>
    <n v="6"/>
  </r>
  <r>
    <s v="L0550"/>
    <s v="Customer_550"/>
    <x v="0"/>
    <x v="0"/>
    <x v="3"/>
    <s v="2025-01-25"/>
    <x v="2"/>
    <n v="0"/>
    <n v="8"/>
  </r>
  <r>
    <s v="L0551"/>
    <s v="Customer_551"/>
    <x v="3"/>
    <x v="1"/>
    <x v="3"/>
    <s v="2025-02-26"/>
    <x v="2"/>
    <n v="0"/>
    <n v="1"/>
  </r>
  <r>
    <s v="L0552"/>
    <s v="Customer_552"/>
    <x v="3"/>
    <x v="3"/>
    <x v="3"/>
    <s v="2026-05-15"/>
    <x v="5"/>
    <n v="0"/>
    <n v="24"/>
  </r>
  <r>
    <s v="L0553"/>
    <s v="Customer_553"/>
    <x v="4"/>
    <x v="2"/>
    <x v="3"/>
    <s v="2025-10-09"/>
    <x v="0"/>
    <n v="0"/>
    <n v="12"/>
  </r>
  <r>
    <s v="L0554"/>
    <s v="Customer_554"/>
    <x v="3"/>
    <x v="1"/>
    <x v="4"/>
    <s v="2025-01-02"/>
    <x v="3"/>
    <n v="0"/>
    <n v="7"/>
  </r>
  <r>
    <s v="L0555"/>
    <s v="Customer_555"/>
    <x v="2"/>
    <x v="4"/>
    <x v="4"/>
    <s v="2026-04-12"/>
    <x v="2"/>
    <n v="0"/>
    <n v="30"/>
  </r>
  <r>
    <s v="L0556"/>
    <s v="Customer_556"/>
    <x v="1"/>
    <x v="1"/>
    <x v="3"/>
    <s v="2026-01-01"/>
    <x v="3"/>
    <n v="0"/>
    <n v="7"/>
  </r>
  <r>
    <s v="L0557"/>
    <s v="Customer_557"/>
    <x v="2"/>
    <x v="2"/>
    <x v="1"/>
    <s v="2025-08-01"/>
    <x v="3"/>
    <n v="0"/>
    <n v="7"/>
  </r>
  <r>
    <s v="L0558"/>
    <s v="Customer_558"/>
    <x v="3"/>
    <x v="0"/>
    <x v="0"/>
    <s v="2026-03-17"/>
    <x v="1"/>
    <n v="0"/>
    <n v="26"/>
  </r>
  <r>
    <s v="L0559"/>
    <s v="Customer_559"/>
    <x v="0"/>
    <x v="4"/>
    <x v="4"/>
    <s v="2026-04-25"/>
    <x v="2"/>
    <n v="0"/>
    <n v="12"/>
  </r>
  <r>
    <s v="L0560"/>
    <s v="Customer_560"/>
    <x v="4"/>
    <x v="1"/>
    <x v="2"/>
    <s v="2025-01-03"/>
    <x v="1"/>
    <n v="0"/>
    <n v="6"/>
  </r>
  <r>
    <s v="L0561"/>
    <s v="Customer_561"/>
    <x v="4"/>
    <x v="1"/>
    <x v="0"/>
    <s v="2025-06-28"/>
    <x v="0"/>
    <n v="0"/>
    <n v="17"/>
  </r>
  <r>
    <s v="L0562"/>
    <s v="Customer_562"/>
    <x v="1"/>
    <x v="4"/>
    <x v="4"/>
    <s v="2025-11-04"/>
    <x v="4"/>
    <n v="234605"/>
    <n v="7"/>
  </r>
  <r>
    <s v="L0563"/>
    <s v="Customer_563"/>
    <x v="1"/>
    <x v="4"/>
    <x v="0"/>
    <s v="2026-04-27"/>
    <x v="0"/>
    <n v="0"/>
    <n v="19"/>
  </r>
  <r>
    <s v="L0564"/>
    <s v="Customer_564"/>
    <x v="2"/>
    <x v="1"/>
    <x v="2"/>
    <s v="2025-08-09"/>
    <x v="5"/>
    <n v="0"/>
    <n v="5"/>
  </r>
  <r>
    <s v="L0565"/>
    <s v="Customer_565"/>
    <x v="5"/>
    <x v="2"/>
    <x v="2"/>
    <s v="2025-12-04"/>
    <x v="5"/>
    <n v="0"/>
    <n v="21"/>
  </r>
  <r>
    <s v="L0566"/>
    <s v="Customer_566"/>
    <x v="3"/>
    <x v="1"/>
    <x v="4"/>
    <s v="2025-01-03"/>
    <x v="5"/>
    <n v="0"/>
    <n v="2"/>
  </r>
  <r>
    <s v="L0567"/>
    <s v="Customer_567"/>
    <x v="1"/>
    <x v="1"/>
    <x v="2"/>
    <s v="2025-07-29"/>
    <x v="2"/>
    <n v="0"/>
    <n v="10"/>
  </r>
  <r>
    <s v="L0568"/>
    <s v="Customer_568"/>
    <x v="3"/>
    <x v="1"/>
    <x v="0"/>
    <s v="2025-01-24"/>
    <x v="0"/>
    <n v="0"/>
    <n v="14"/>
  </r>
  <r>
    <s v="L0569"/>
    <s v="Customer_569"/>
    <x v="5"/>
    <x v="1"/>
    <x v="1"/>
    <s v="2026-01-23"/>
    <x v="2"/>
    <n v="0"/>
    <n v="26"/>
  </r>
  <r>
    <s v="L0570"/>
    <s v="Customer_570"/>
    <x v="2"/>
    <x v="1"/>
    <x v="3"/>
    <s v="2026-04-28"/>
    <x v="3"/>
    <n v="0"/>
    <n v="2"/>
  </r>
  <r>
    <s v="L0571"/>
    <s v="Customer_571"/>
    <x v="2"/>
    <x v="3"/>
    <x v="4"/>
    <s v="2026-03-13"/>
    <x v="3"/>
    <n v="0"/>
    <n v="3"/>
  </r>
  <r>
    <s v="L0572"/>
    <s v="Customer_572"/>
    <x v="2"/>
    <x v="1"/>
    <x v="2"/>
    <s v="2026-02-05"/>
    <x v="5"/>
    <n v="0"/>
    <n v="19"/>
  </r>
  <r>
    <s v="L0573"/>
    <s v="Customer_573"/>
    <x v="0"/>
    <x v="0"/>
    <x v="0"/>
    <s v="2025-05-20"/>
    <x v="4"/>
    <n v="475188"/>
    <n v="9"/>
  </r>
  <r>
    <s v="L0574"/>
    <s v="Customer_574"/>
    <x v="5"/>
    <x v="4"/>
    <x v="2"/>
    <s v="2025-04-22"/>
    <x v="3"/>
    <n v="0"/>
    <n v="7"/>
  </r>
  <r>
    <s v="L0575"/>
    <s v="Customer_575"/>
    <x v="4"/>
    <x v="1"/>
    <x v="4"/>
    <s v="2025-08-09"/>
    <x v="3"/>
    <n v="0"/>
    <n v="18"/>
  </r>
  <r>
    <s v="L0576"/>
    <s v="Customer_576"/>
    <x v="5"/>
    <x v="0"/>
    <x v="2"/>
    <s v="2025-01-27"/>
    <x v="5"/>
    <n v="0"/>
    <n v="23"/>
  </r>
  <r>
    <s v="L0577"/>
    <s v="Customer_577"/>
    <x v="0"/>
    <x v="2"/>
    <x v="0"/>
    <s v="2025-01-27"/>
    <x v="1"/>
    <n v="0"/>
    <n v="3"/>
  </r>
  <r>
    <s v="L0578"/>
    <s v="Customer_578"/>
    <x v="0"/>
    <x v="0"/>
    <x v="1"/>
    <s v="2025-03-21"/>
    <x v="0"/>
    <n v="0"/>
    <n v="30"/>
  </r>
  <r>
    <s v="L0579"/>
    <s v="Customer_579"/>
    <x v="0"/>
    <x v="3"/>
    <x v="0"/>
    <s v="2025-08-26"/>
    <x v="3"/>
    <n v="0"/>
    <n v="9"/>
  </r>
  <r>
    <s v="L0580"/>
    <s v="Customer_580"/>
    <x v="2"/>
    <x v="4"/>
    <x v="2"/>
    <s v="2025-10-06"/>
    <x v="3"/>
    <n v="0"/>
    <n v="15"/>
  </r>
  <r>
    <s v="L0581"/>
    <s v="Customer_581"/>
    <x v="5"/>
    <x v="1"/>
    <x v="0"/>
    <s v="2025-04-23"/>
    <x v="5"/>
    <n v="0"/>
    <n v="30"/>
  </r>
  <r>
    <s v="L0582"/>
    <s v="Customer_582"/>
    <x v="0"/>
    <x v="3"/>
    <x v="3"/>
    <s v="2025-01-13"/>
    <x v="4"/>
    <n v="313646"/>
    <n v="10"/>
  </r>
  <r>
    <s v="L0583"/>
    <s v="Customer_583"/>
    <x v="0"/>
    <x v="0"/>
    <x v="3"/>
    <s v="2026-05-10"/>
    <x v="0"/>
    <n v="0"/>
    <n v="22"/>
  </r>
  <r>
    <s v="L0584"/>
    <s v="Customer_584"/>
    <x v="4"/>
    <x v="4"/>
    <x v="4"/>
    <s v="2025-05-13"/>
    <x v="3"/>
    <n v="0"/>
    <n v="26"/>
  </r>
  <r>
    <s v="L0585"/>
    <s v="Customer_585"/>
    <x v="3"/>
    <x v="4"/>
    <x v="3"/>
    <s v="2025-01-05"/>
    <x v="1"/>
    <n v="0"/>
    <n v="6"/>
  </r>
  <r>
    <s v="L0586"/>
    <s v="Customer_586"/>
    <x v="1"/>
    <x v="3"/>
    <x v="4"/>
    <s v="2026-02-10"/>
    <x v="4"/>
    <n v="31569"/>
    <n v="21"/>
  </r>
  <r>
    <s v="L0587"/>
    <s v="Customer_587"/>
    <x v="4"/>
    <x v="0"/>
    <x v="2"/>
    <s v="2025-10-08"/>
    <x v="2"/>
    <n v="0"/>
    <n v="23"/>
  </r>
  <r>
    <s v="L0588"/>
    <s v="Customer_588"/>
    <x v="3"/>
    <x v="3"/>
    <x v="0"/>
    <s v="2025-02-20"/>
    <x v="1"/>
    <n v="0"/>
    <n v="17"/>
  </r>
  <r>
    <s v="L0589"/>
    <s v="Customer_589"/>
    <x v="2"/>
    <x v="4"/>
    <x v="1"/>
    <s v="2025-01-07"/>
    <x v="0"/>
    <n v="0"/>
    <n v="14"/>
  </r>
  <r>
    <s v="L0590"/>
    <s v="Customer_590"/>
    <x v="2"/>
    <x v="1"/>
    <x v="0"/>
    <s v="2026-02-27"/>
    <x v="0"/>
    <n v="0"/>
    <n v="29"/>
  </r>
  <r>
    <s v="L0591"/>
    <s v="Customer_591"/>
    <x v="2"/>
    <x v="2"/>
    <x v="2"/>
    <s v="2025-03-03"/>
    <x v="2"/>
    <n v="0"/>
    <n v="8"/>
  </r>
  <r>
    <s v="L0592"/>
    <s v="Customer_592"/>
    <x v="5"/>
    <x v="0"/>
    <x v="4"/>
    <s v="2025-02-27"/>
    <x v="1"/>
    <n v="0"/>
    <n v="30"/>
  </r>
  <r>
    <s v="L0593"/>
    <s v="Customer_593"/>
    <x v="4"/>
    <x v="3"/>
    <x v="0"/>
    <s v="2026-01-05"/>
    <x v="0"/>
    <n v="0"/>
    <n v="6"/>
  </r>
  <r>
    <s v="L0594"/>
    <s v="Customer_594"/>
    <x v="2"/>
    <x v="1"/>
    <x v="4"/>
    <s v="2025-10-08"/>
    <x v="3"/>
    <n v="0"/>
    <n v="28"/>
  </r>
  <r>
    <s v="L0595"/>
    <s v="Customer_595"/>
    <x v="3"/>
    <x v="2"/>
    <x v="2"/>
    <s v="2025-06-19"/>
    <x v="5"/>
    <n v="0"/>
    <n v="18"/>
  </r>
  <r>
    <s v="L0596"/>
    <s v="Customer_596"/>
    <x v="2"/>
    <x v="2"/>
    <x v="3"/>
    <s v="2025-01-12"/>
    <x v="5"/>
    <n v="0"/>
    <n v="16"/>
  </r>
  <r>
    <s v="L0597"/>
    <s v="Customer_597"/>
    <x v="2"/>
    <x v="1"/>
    <x v="1"/>
    <s v="2025-08-25"/>
    <x v="3"/>
    <n v="0"/>
    <n v="7"/>
  </r>
  <r>
    <s v="L0598"/>
    <s v="Customer_598"/>
    <x v="3"/>
    <x v="4"/>
    <x v="3"/>
    <s v="2026-03-13"/>
    <x v="0"/>
    <n v="0"/>
    <n v="14"/>
  </r>
  <r>
    <s v="L0599"/>
    <s v="Customer_599"/>
    <x v="5"/>
    <x v="1"/>
    <x v="1"/>
    <s v="2026-02-24"/>
    <x v="4"/>
    <n v="96299"/>
    <n v="23"/>
  </r>
  <r>
    <s v="L0600"/>
    <s v="Customer_600"/>
    <x v="1"/>
    <x v="4"/>
    <x v="2"/>
    <s v="2025-07-10"/>
    <x v="5"/>
    <n v="0"/>
    <n v="1"/>
  </r>
  <r>
    <s v="L0601"/>
    <s v="Customer_601"/>
    <x v="0"/>
    <x v="2"/>
    <x v="4"/>
    <s v="2025-05-25"/>
    <x v="5"/>
    <n v="0"/>
    <n v="19"/>
  </r>
  <r>
    <s v="L0602"/>
    <s v="Customer_602"/>
    <x v="1"/>
    <x v="2"/>
    <x v="0"/>
    <s v="2025-04-18"/>
    <x v="2"/>
    <n v="0"/>
    <n v="5"/>
  </r>
  <r>
    <s v="L0603"/>
    <s v="Customer_603"/>
    <x v="3"/>
    <x v="0"/>
    <x v="1"/>
    <s v="2026-02-08"/>
    <x v="4"/>
    <n v="118665"/>
    <n v="29"/>
  </r>
  <r>
    <s v="L0604"/>
    <s v="Customer_604"/>
    <x v="0"/>
    <x v="2"/>
    <x v="1"/>
    <s v="2025-12-13"/>
    <x v="5"/>
    <n v="0"/>
    <n v="24"/>
  </r>
  <r>
    <s v="L0605"/>
    <s v="Customer_605"/>
    <x v="5"/>
    <x v="3"/>
    <x v="1"/>
    <s v="2025-06-24"/>
    <x v="3"/>
    <n v="0"/>
    <n v="2"/>
  </r>
  <r>
    <s v="L0606"/>
    <s v="Customer_606"/>
    <x v="2"/>
    <x v="4"/>
    <x v="2"/>
    <s v="2025-05-15"/>
    <x v="5"/>
    <n v="0"/>
    <n v="19"/>
  </r>
  <r>
    <s v="L0607"/>
    <s v="Customer_607"/>
    <x v="3"/>
    <x v="4"/>
    <x v="0"/>
    <s v="2025-04-07"/>
    <x v="5"/>
    <n v="0"/>
    <n v="22"/>
  </r>
  <r>
    <s v="L0608"/>
    <s v="Customer_608"/>
    <x v="5"/>
    <x v="4"/>
    <x v="1"/>
    <s v="2025-10-02"/>
    <x v="0"/>
    <n v="0"/>
    <n v="23"/>
  </r>
  <r>
    <s v="L0609"/>
    <s v="Customer_609"/>
    <x v="2"/>
    <x v="4"/>
    <x v="0"/>
    <s v="2026-01-04"/>
    <x v="4"/>
    <n v="85199"/>
    <n v="3"/>
  </r>
  <r>
    <s v="L0610"/>
    <s v="Customer_610"/>
    <x v="3"/>
    <x v="4"/>
    <x v="3"/>
    <s v="2025-05-29"/>
    <x v="2"/>
    <n v="0"/>
    <n v="14"/>
  </r>
  <r>
    <s v="L0611"/>
    <s v="Customer_611"/>
    <x v="5"/>
    <x v="1"/>
    <x v="2"/>
    <s v="2025-05-22"/>
    <x v="3"/>
    <n v="0"/>
    <n v="2"/>
  </r>
  <r>
    <s v="L0612"/>
    <s v="Customer_612"/>
    <x v="1"/>
    <x v="2"/>
    <x v="2"/>
    <s v="2026-02-17"/>
    <x v="5"/>
    <n v="0"/>
    <n v="4"/>
  </r>
  <r>
    <s v="L0613"/>
    <s v="Customer_613"/>
    <x v="0"/>
    <x v="0"/>
    <x v="0"/>
    <s v="2025-10-10"/>
    <x v="2"/>
    <n v="0"/>
    <n v="23"/>
  </r>
  <r>
    <s v="L0614"/>
    <s v="Customer_614"/>
    <x v="2"/>
    <x v="3"/>
    <x v="3"/>
    <s v="2025-01-01"/>
    <x v="3"/>
    <n v="0"/>
    <n v="19"/>
  </r>
  <r>
    <s v="L0615"/>
    <s v="Customer_615"/>
    <x v="3"/>
    <x v="4"/>
    <x v="2"/>
    <s v="2025-12-28"/>
    <x v="0"/>
    <n v="0"/>
    <n v="24"/>
  </r>
  <r>
    <s v="L0616"/>
    <s v="Customer_616"/>
    <x v="1"/>
    <x v="3"/>
    <x v="4"/>
    <s v="2026-04-06"/>
    <x v="1"/>
    <n v="0"/>
    <n v="26"/>
  </r>
  <r>
    <s v="L0617"/>
    <s v="Customer_617"/>
    <x v="3"/>
    <x v="1"/>
    <x v="2"/>
    <s v="2025-09-19"/>
    <x v="2"/>
    <n v="0"/>
    <n v="14"/>
  </r>
  <r>
    <s v="L0618"/>
    <s v="Customer_618"/>
    <x v="1"/>
    <x v="3"/>
    <x v="0"/>
    <s v="2026-01-06"/>
    <x v="5"/>
    <n v="0"/>
    <n v="11"/>
  </r>
  <r>
    <s v="L0619"/>
    <s v="Customer_619"/>
    <x v="4"/>
    <x v="2"/>
    <x v="4"/>
    <s v="2025-02-27"/>
    <x v="2"/>
    <n v="0"/>
    <n v="6"/>
  </r>
  <r>
    <s v="L0620"/>
    <s v="Customer_620"/>
    <x v="1"/>
    <x v="4"/>
    <x v="3"/>
    <s v="2025-11-11"/>
    <x v="1"/>
    <n v="0"/>
    <n v="13"/>
  </r>
  <r>
    <s v="L0621"/>
    <s v="Customer_621"/>
    <x v="1"/>
    <x v="0"/>
    <x v="2"/>
    <s v="2025-12-18"/>
    <x v="3"/>
    <n v="0"/>
    <n v="24"/>
  </r>
  <r>
    <s v="L0622"/>
    <s v="Customer_622"/>
    <x v="5"/>
    <x v="2"/>
    <x v="3"/>
    <s v="2025-10-24"/>
    <x v="5"/>
    <n v="0"/>
    <n v="28"/>
  </r>
  <r>
    <s v="L0623"/>
    <s v="Customer_623"/>
    <x v="1"/>
    <x v="1"/>
    <x v="3"/>
    <s v="2025-07-14"/>
    <x v="5"/>
    <n v="0"/>
    <n v="2"/>
  </r>
  <r>
    <s v="L0624"/>
    <s v="Customer_624"/>
    <x v="1"/>
    <x v="3"/>
    <x v="4"/>
    <s v="2026-05-15"/>
    <x v="4"/>
    <n v="185889"/>
    <n v="15"/>
  </r>
  <r>
    <s v="L0625"/>
    <s v="Customer_625"/>
    <x v="0"/>
    <x v="1"/>
    <x v="4"/>
    <s v="2025-07-19"/>
    <x v="2"/>
    <n v="0"/>
    <n v="13"/>
  </r>
  <r>
    <s v="L0626"/>
    <s v="Customer_626"/>
    <x v="1"/>
    <x v="1"/>
    <x v="4"/>
    <s v="2025-08-20"/>
    <x v="5"/>
    <n v="0"/>
    <n v="18"/>
  </r>
  <r>
    <s v="L0627"/>
    <s v="Customer_627"/>
    <x v="5"/>
    <x v="2"/>
    <x v="3"/>
    <s v="2025-08-31"/>
    <x v="0"/>
    <n v="0"/>
    <n v="17"/>
  </r>
  <r>
    <s v="L0628"/>
    <s v="Customer_628"/>
    <x v="5"/>
    <x v="0"/>
    <x v="1"/>
    <s v="2025-04-01"/>
    <x v="2"/>
    <n v="0"/>
    <n v="17"/>
  </r>
  <r>
    <s v="L0629"/>
    <s v="Customer_629"/>
    <x v="0"/>
    <x v="3"/>
    <x v="2"/>
    <s v="2025-05-12"/>
    <x v="5"/>
    <n v="0"/>
    <n v="29"/>
  </r>
  <r>
    <s v="L0630"/>
    <s v="Customer_630"/>
    <x v="5"/>
    <x v="1"/>
    <x v="0"/>
    <s v="2025-11-10"/>
    <x v="0"/>
    <n v="0"/>
    <n v="11"/>
  </r>
  <r>
    <s v="L0631"/>
    <s v="Customer_631"/>
    <x v="3"/>
    <x v="3"/>
    <x v="1"/>
    <s v="2025-08-26"/>
    <x v="0"/>
    <n v="0"/>
    <n v="2"/>
  </r>
  <r>
    <s v="L0632"/>
    <s v="Customer_632"/>
    <x v="2"/>
    <x v="2"/>
    <x v="1"/>
    <s v="2025-12-28"/>
    <x v="4"/>
    <n v="428204"/>
    <n v="13"/>
  </r>
  <r>
    <s v="L0633"/>
    <s v="Customer_633"/>
    <x v="4"/>
    <x v="1"/>
    <x v="3"/>
    <s v="2025-10-03"/>
    <x v="0"/>
    <n v="0"/>
    <n v="19"/>
  </r>
  <r>
    <s v="L0634"/>
    <s v="Customer_634"/>
    <x v="2"/>
    <x v="1"/>
    <x v="4"/>
    <s v="2025-11-09"/>
    <x v="3"/>
    <n v="0"/>
    <n v="4"/>
  </r>
  <r>
    <s v="L0635"/>
    <s v="Customer_635"/>
    <x v="5"/>
    <x v="2"/>
    <x v="4"/>
    <s v="2025-06-29"/>
    <x v="4"/>
    <n v="214613"/>
    <n v="21"/>
  </r>
  <r>
    <s v="L0636"/>
    <s v="Customer_636"/>
    <x v="4"/>
    <x v="1"/>
    <x v="3"/>
    <s v="2025-12-01"/>
    <x v="1"/>
    <n v="0"/>
    <n v="30"/>
  </r>
  <r>
    <s v="L0637"/>
    <s v="Customer_637"/>
    <x v="1"/>
    <x v="1"/>
    <x v="3"/>
    <s v="2026-01-01"/>
    <x v="4"/>
    <n v="365002"/>
    <n v="7"/>
  </r>
  <r>
    <s v="L0638"/>
    <s v="Customer_638"/>
    <x v="1"/>
    <x v="4"/>
    <x v="0"/>
    <s v="2025-06-11"/>
    <x v="5"/>
    <n v="0"/>
    <n v="18"/>
  </r>
  <r>
    <s v="L0639"/>
    <s v="Customer_639"/>
    <x v="2"/>
    <x v="1"/>
    <x v="1"/>
    <s v="2025-05-19"/>
    <x v="3"/>
    <n v="0"/>
    <n v="3"/>
  </r>
  <r>
    <s v="L0640"/>
    <s v="Customer_640"/>
    <x v="2"/>
    <x v="2"/>
    <x v="2"/>
    <s v="2025-02-23"/>
    <x v="0"/>
    <n v="0"/>
    <n v="5"/>
  </r>
  <r>
    <s v="L0641"/>
    <s v="Customer_641"/>
    <x v="4"/>
    <x v="0"/>
    <x v="2"/>
    <s v="2025-04-16"/>
    <x v="3"/>
    <n v="0"/>
    <n v="21"/>
  </r>
  <r>
    <s v="L0642"/>
    <s v="Customer_642"/>
    <x v="5"/>
    <x v="3"/>
    <x v="2"/>
    <s v="2025-10-04"/>
    <x v="3"/>
    <n v="0"/>
    <n v="4"/>
  </r>
  <r>
    <s v="L0643"/>
    <s v="Customer_643"/>
    <x v="0"/>
    <x v="4"/>
    <x v="0"/>
    <s v="2025-11-29"/>
    <x v="5"/>
    <n v="0"/>
    <n v="30"/>
  </r>
  <r>
    <s v="L0644"/>
    <s v="Customer_644"/>
    <x v="1"/>
    <x v="1"/>
    <x v="2"/>
    <s v="2025-09-20"/>
    <x v="4"/>
    <n v="428384"/>
    <n v="29"/>
  </r>
  <r>
    <s v="L0645"/>
    <s v="Customer_645"/>
    <x v="3"/>
    <x v="0"/>
    <x v="1"/>
    <s v="2025-03-03"/>
    <x v="3"/>
    <n v="0"/>
    <n v="13"/>
  </r>
  <r>
    <s v="L0646"/>
    <s v="Customer_646"/>
    <x v="4"/>
    <x v="4"/>
    <x v="3"/>
    <s v="2025-02-01"/>
    <x v="3"/>
    <n v="0"/>
    <n v="22"/>
  </r>
  <r>
    <s v="L0647"/>
    <s v="Customer_647"/>
    <x v="5"/>
    <x v="2"/>
    <x v="2"/>
    <s v="2025-02-24"/>
    <x v="1"/>
    <n v="0"/>
    <n v="2"/>
  </r>
  <r>
    <s v="L0648"/>
    <s v="Customer_648"/>
    <x v="1"/>
    <x v="2"/>
    <x v="1"/>
    <s v="2025-12-04"/>
    <x v="1"/>
    <n v="0"/>
    <n v="10"/>
  </r>
  <r>
    <s v="L0649"/>
    <s v="Customer_649"/>
    <x v="1"/>
    <x v="1"/>
    <x v="2"/>
    <s v="2025-12-24"/>
    <x v="4"/>
    <n v="113893"/>
    <n v="5"/>
  </r>
  <r>
    <s v="L0650"/>
    <s v="Customer_650"/>
    <x v="4"/>
    <x v="3"/>
    <x v="1"/>
    <s v="2025-11-12"/>
    <x v="2"/>
    <n v="0"/>
    <n v="29"/>
  </r>
  <r>
    <s v="L0651"/>
    <s v="Customer_651"/>
    <x v="5"/>
    <x v="3"/>
    <x v="3"/>
    <s v="2026-04-17"/>
    <x v="0"/>
    <n v="0"/>
    <n v="16"/>
  </r>
  <r>
    <s v="L0652"/>
    <s v="Customer_652"/>
    <x v="2"/>
    <x v="1"/>
    <x v="4"/>
    <s v="2025-09-17"/>
    <x v="5"/>
    <n v="0"/>
    <n v="24"/>
  </r>
  <r>
    <s v="L0653"/>
    <s v="Customer_653"/>
    <x v="3"/>
    <x v="2"/>
    <x v="0"/>
    <s v="2026-02-27"/>
    <x v="3"/>
    <n v="0"/>
    <n v="13"/>
  </r>
  <r>
    <s v="L0654"/>
    <s v="Customer_654"/>
    <x v="2"/>
    <x v="3"/>
    <x v="0"/>
    <s v="2025-02-20"/>
    <x v="5"/>
    <n v="0"/>
    <n v="7"/>
  </r>
  <r>
    <s v="L0655"/>
    <s v="Customer_655"/>
    <x v="0"/>
    <x v="2"/>
    <x v="3"/>
    <s v="2025-11-03"/>
    <x v="1"/>
    <n v="0"/>
    <n v="28"/>
  </r>
  <r>
    <s v="L0656"/>
    <s v="Customer_656"/>
    <x v="5"/>
    <x v="1"/>
    <x v="1"/>
    <s v="2025-08-12"/>
    <x v="4"/>
    <n v="172728"/>
    <n v="19"/>
  </r>
  <r>
    <s v="L0657"/>
    <s v="Customer_657"/>
    <x v="4"/>
    <x v="2"/>
    <x v="0"/>
    <s v="2025-09-15"/>
    <x v="2"/>
    <n v="0"/>
    <n v="4"/>
  </r>
  <r>
    <s v="L0658"/>
    <s v="Customer_658"/>
    <x v="2"/>
    <x v="3"/>
    <x v="0"/>
    <s v="2025-09-25"/>
    <x v="1"/>
    <n v="0"/>
    <n v="22"/>
  </r>
  <r>
    <s v="L0659"/>
    <s v="Customer_659"/>
    <x v="3"/>
    <x v="2"/>
    <x v="0"/>
    <s v="2025-08-28"/>
    <x v="1"/>
    <n v="0"/>
    <n v="13"/>
  </r>
  <r>
    <s v="L0660"/>
    <s v="Customer_660"/>
    <x v="1"/>
    <x v="4"/>
    <x v="1"/>
    <s v="2025-06-09"/>
    <x v="5"/>
    <n v="0"/>
    <n v="16"/>
  </r>
  <r>
    <s v="L0661"/>
    <s v="Customer_661"/>
    <x v="0"/>
    <x v="0"/>
    <x v="0"/>
    <s v="2025-04-08"/>
    <x v="5"/>
    <n v="0"/>
    <n v="3"/>
  </r>
  <r>
    <s v="L0662"/>
    <s v="Customer_662"/>
    <x v="1"/>
    <x v="3"/>
    <x v="1"/>
    <s v="2025-11-21"/>
    <x v="2"/>
    <n v="0"/>
    <n v="16"/>
  </r>
  <r>
    <s v="L0663"/>
    <s v="Customer_663"/>
    <x v="4"/>
    <x v="1"/>
    <x v="1"/>
    <s v="2025-12-17"/>
    <x v="5"/>
    <n v="0"/>
    <n v="28"/>
  </r>
  <r>
    <s v="L0664"/>
    <s v="Customer_664"/>
    <x v="5"/>
    <x v="4"/>
    <x v="0"/>
    <s v="2025-05-21"/>
    <x v="0"/>
    <n v="0"/>
    <n v="25"/>
  </r>
  <r>
    <s v="L0665"/>
    <s v="Customer_665"/>
    <x v="4"/>
    <x v="4"/>
    <x v="2"/>
    <s v="2025-03-03"/>
    <x v="5"/>
    <n v="0"/>
    <n v="12"/>
  </r>
  <r>
    <s v="L0666"/>
    <s v="Customer_666"/>
    <x v="0"/>
    <x v="1"/>
    <x v="0"/>
    <s v="2026-03-03"/>
    <x v="5"/>
    <n v="0"/>
    <n v="3"/>
  </r>
  <r>
    <s v="L0667"/>
    <s v="Customer_667"/>
    <x v="2"/>
    <x v="2"/>
    <x v="4"/>
    <s v="2025-07-08"/>
    <x v="3"/>
    <n v="0"/>
    <n v="12"/>
  </r>
  <r>
    <s v="L0668"/>
    <s v="Customer_668"/>
    <x v="1"/>
    <x v="4"/>
    <x v="0"/>
    <s v="2026-01-01"/>
    <x v="0"/>
    <n v="0"/>
    <n v="27"/>
  </r>
  <r>
    <s v="L0669"/>
    <s v="Customer_669"/>
    <x v="1"/>
    <x v="1"/>
    <x v="1"/>
    <s v="2025-12-29"/>
    <x v="3"/>
    <n v="0"/>
    <n v="9"/>
  </r>
  <r>
    <s v="L0670"/>
    <s v="Customer_670"/>
    <x v="4"/>
    <x v="1"/>
    <x v="3"/>
    <s v="2025-09-08"/>
    <x v="4"/>
    <n v="214559"/>
    <n v="10"/>
  </r>
  <r>
    <s v="L0671"/>
    <s v="Customer_671"/>
    <x v="0"/>
    <x v="3"/>
    <x v="0"/>
    <s v="2025-05-28"/>
    <x v="1"/>
    <n v="0"/>
    <n v="16"/>
  </r>
  <r>
    <s v="L0672"/>
    <s v="Customer_672"/>
    <x v="3"/>
    <x v="0"/>
    <x v="2"/>
    <s v="2025-11-23"/>
    <x v="5"/>
    <n v="0"/>
    <n v="2"/>
  </r>
  <r>
    <s v="L0673"/>
    <s v="Customer_673"/>
    <x v="1"/>
    <x v="0"/>
    <x v="2"/>
    <s v="2026-05-02"/>
    <x v="3"/>
    <n v="0"/>
    <n v="28"/>
  </r>
  <r>
    <s v="L0674"/>
    <s v="Customer_674"/>
    <x v="2"/>
    <x v="2"/>
    <x v="3"/>
    <s v="2025-04-16"/>
    <x v="4"/>
    <n v="204715"/>
    <n v="13"/>
  </r>
  <r>
    <s v="L0675"/>
    <s v="Customer_675"/>
    <x v="3"/>
    <x v="2"/>
    <x v="0"/>
    <s v="2025-03-06"/>
    <x v="0"/>
    <n v="0"/>
    <n v="19"/>
  </r>
  <r>
    <s v="L0676"/>
    <s v="Customer_676"/>
    <x v="0"/>
    <x v="4"/>
    <x v="2"/>
    <s v="2025-07-22"/>
    <x v="5"/>
    <n v="0"/>
    <n v="15"/>
  </r>
  <r>
    <s v="L0677"/>
    <s v="Customer_677"/>
    <x v="3"/>
    <x v="3"/>
    <x v="0"/>
    <s v="2025-11-29"/>
    <x v="5"/>
    <n v="0"/>
    <n v="20"/>
  </r>
  <r>
    <s v="L0678"/>
    <s v="Customer_678"/>
    <x v="0"/>
    <x v="4"/>
    <x v="3"/>
    <s v="2025-10-07"/>
    <x v="2"/>
    <n v="0"/>
    <n v="3"/>
  </r>
  <r>
    <s v="L0679"/>
    <s v="Customer_679"/>
    <x v="1"/>
    <x v="3"/>
    <x v="1"/>
    <s v="2026-04-04"/>
    <x v="0"/>
    <n v="0"/>
    <n v="21"/>
  </r>
  <r>
    <s v="L0680"/>
    <s v="Customer_680"/>
    <x v="2"/>
    <x v="0"/>
    <x v="1"/>
    <s v="2026-01-30"/>
    <x v="5"/>
    <n v="0"/>
    <n v="1"/>
  </r>
  <r>
    <s v="L0681"/>
    <s v="Customer_681"/>
    <x v="3"/>
    <x v="4"/>
    <x v="4"/>
    <s v="2026-04-10"/>
    <x v="2"/>
    <n v="0"/>
    <n v="9"/>
  </r>
  <r>
    <s v="L0682"/>
    <s v="Customer_682"/>
    <x v="3"/>
    <x v="3"/>
    <x v="3"/>
    <s v="2025-01-26"/>
    <x v="2"/>
    <n v="0"/>
    <n v="15"/>
  </r>
  <r>
    <s v="L0683"/>
    <s v="Customer_683"/>
    <x v="2"/>
    <x v="0"/>
    <x v="2"/>
    <s v="2025-07-04"/>
    <x v="3"/>
    <n v="0"/>
    <n v="29"/>
  </r>
  <r>
    <s v="L0684"/>
    <s v="Customer_684"/>
    <x v="1"/>
    <x v="2"/>
    <x v="3"/>
    <s v="2025-09-28"/>
    <x v="1"/>
    <n v="0"/>
    <n v="2"/>
  </r>
  <r>
    <s v="L0685"/>
    <s v="Customer_685"/>
    <x v="2"/>
    <x v="2"/>
    <x v="2"/>
    <s v="2025-07-31"/>
    <x v="1"/>
    <n v="0"/>
    <n v="8"/>
  </r>
  <r>
    <s v="L0686"/>
    <s v="Customer_686"/>
    <x v="0"/>
    <x v="2"/>
    <x v="1"/>
    <s v="2025-01-13"/>
    <x v="0"/>
    <n v="0"/>
    <n v="14"/>
  </r>
  <r>
    <s v="L0687"/>
    <s v="Customer_687"/>
    <x v="2"/>
    <x v="0"/>
    <x v="0"/>
    <s v="2025-05-18"/>
    <x v="0"/>
    <n v="0"/>
    <n v="6"/>
  </r>
  <r>
    <s v="L0688"/>
    <s v="Customer_688"/>
    <x v="5"/>
    <x v="4"/>
    <x v="1"/>
    <s v="2025-12-11"/>
    <x v="4"/>
    <n v="55131"/>
    <n v="26"/>
  </r>
  <r>
    <s v="L0689"/>
    <s v="Customer_689"/>
    <x v="1"/>
    <x v="3"/>
    <x v="3"/>
    <s v="2025-11-29"/>
    <x v="4"/>
    <n v="333949"/>
    <n v="2"/>
  </r>
  <r>
    <s v="L0690"/>
    <s v="Customer_690"/>
    <x v="2"/>
    <x v="1"/>
    <x v="4"/>
    <s v="2025-09-18"/>
    <x v="5"/>
    <n v="0"/>
    <n v="24"/>
  </r>
  <r>
    <s v="L0691"/>
    <s v="Customer_691"/>
    <x v="3"/>
    <x v="0"/>
    <x v="4"/>
    <s v="2025-04-27"/>
    <x v="3"/>
    <n v="0"/>
    <n v="9"/>
  </r>
  <r>
    <s v="L0692"/>
    <s v="Customer_692"/>
    <x v="0"/>
    <x v="2"/>
    <x v="3"/>
    <s v="2025-12-22"/>
    <x v="2"/>
    <n v="0"/>
    <n v="2"/>
  </r>
  <r>
    <s v="L0693"/>
    <s v="Customer_693"/>
    <x v="2"/>
    <x v="3"/>
    <x v="3"/>
    <s v="2025-11-09"/>
    <x v="1"/>
    <n v="0"/>
    <n v="28"/>
  </r>
  <r>
    <s v="L0694"/>
    <s v="Customer_694"/>
    <x v="3"/>
    <x v="0"/>
    <x v="3"/>
    <s v="2025-05-16"/>
    <x v="0"/>
    <n v="0"/>
    <n v="19"/>
  </r>
  <r>
    <s v="L0695"/>
    <s v="Customer_695"/>
    <x v="1"/>
    <x v="4"/>
    <x v="4"/>
    <s v="2025-10-05"/>
    <x v="0"/>
    <n v="0"/>
    <n v="28"/>
  </r>
  <r>
    <s v="L0696"/>
    <s v="Customer_696"/>
    <x v="2"/>
    <x v="0"/>
    <x v="0"/>
    <s v="2025-07-22"/>
    <x v="2"/>
    <n v="0"/>
    <n v="1"/>
  </r>
  <r>
    <s v="L0697"/>
    <s v="Customer_697"/>
    <x v="4"/>
    <x v="1"/>
    <x v="2"/>
    <s v="2025-01-04"/>
    <x v="2"/>
    <n v="0"/>
    <n v="22"/>
  </r>
  <r>
    <s v="L0698"/>
    <s v="Customer_698"/>
    <x v="1"/>
    <x v="4"/>
    <x v="3"/>
    <s v="2025-10-20"/>
    <x v="2"/>
    <n v="0"/>
    <n v="10"/>
  </r>
  <r>
    <s v="L0699"/>
    <s v="Customer_699"/>
    <x v="3"/>
    <x v="1"/>
    <x v="2"/>
    <s v="2026-01-10"/>
    <x v="3"/>
    <n v="0"/>
    <n v="7"/>
  </r>
  <r>
    <s v="L0700"/>
    <s v="Customer_700"/>
    <x v="3"/>
    <x v="4"/>
    <x v="0"/>
    <s v="2026-05-15"/>
    <x v="3"/>
    <n v="0"/>
    <n v="17"/>
  </r>
  <r>
    <s v="L0701"/>
    <s v="Customer_701"/>
    <x v="2"/>
    <x v="3"/>
    <x v="0"/>
    <s v="2025-01-02"/>
    <x v="0"/>
    <n v="0"/>
    <n v="21"/>
  </r>
  <r>
    <s v="L0702"/>
    <s v="Customer_702"/>
    <x v="1"/>
    <x v="2"/>
    <x v="4"/>
    <s v="2026-03-15"/>
    <x v="1"/>
    <n v="0"/>
    <n v="21"/>
  </r>
  <r>
    <s v="L0703"/>
    <s v="Customer_703"/>
    <x v="4"/>
    <x v="3"/>
    <x v="0"/>
    <s v="2026-04-29"/>
    <x v="4"/>
    <n v="145234"/>
    <n v="28"/>
  </r>
  <r>
    <s v="L0704"/>
    <s v="Customer_704"/>
    <x v="3"/>
    <x v="0"/>
    <x v="1"/>
    <s v="2026-03-02"/>
    <x v="2"/>
    <n v="0"/>
    <n v="28"/>
  </r>
  <r>
    <s v="L0705"/>
    <s v="Customer_705"/>
    <x v="3"/>
    <x v="1"/>
    <x v="0"/>
    <s v="2025-02-17"/>
    <x v="5"/>
    <n v="0"/>
    <n v="15"/>
  </r>
  <r>
    <s v="L0706"/>
    <s v="Customer_706"/>
    <x v="0"/>
    <x v="2"/>
    <x v="4"/>
    <s v="2026-03-14"/>
    <x v="2"/>
    <n v="0"/>
    <n v="30"/>
  </r>
  <r>
    <s v="L0707"/>
    <s v="Customer_707"/>
    <x v="2"/>
    <x v="1"/>
    <x v="2"/>
    <s v="2025-05-01"/>
    <x v="4"/>
    <n v="395076"/>
    <n v="21"/>
  </r>
  <r>
    <s v="L0708"/>
    <s v="Customer_708"/>
    <x v="0"/>
    <x v="4"/>
    <x v="2"/>
    <s v="2025-10-25"/>
    <x v="0"/>
    <n v="0"/>
    <n v="28"/>
  </r>
  <r>
    <s v="L0709"/>
    <s v="Customer_709"/>
    <x v="2"/>
    <x v="3"/>
    <x v="1"/>
    <s v="2025-09-01"/>
    <x v="3"/>
    <n v="0"/>
    <n v="27"/>
  </r>
  <r>
    <s v="L0710"/>
    <s v="Customer_710"/>
    <x v="1"/>
    <x v="4"/>
    <x v="1"/>
    <s v="2026-02-17"/>
    <x v="5"/>
    <n v="0"/>
    <n v="14"/>
  </r>
  <r>
    <s v="L0711"/>
    <s v="Customer_711"/>
    <x v="1"/>
    <x v="2"/>
    <x v="1"/>
    <s v="2026-03-16"/>
    <x v="2"/>
    <n v="0"/>
    <n v="12"/>
  </r>
  <r>
    <s v="L0712"/>
    <s v="Customer_712"/>
    <x v="4"/>
    <x v="3"/>
    <x v="4"/>
    <s v="2026-02-18"/>
    <x v="4"/>
    <n v="251550"/>
    <n v="15"/>
  </r>
  <r>
    <s v="L0713"/>
    <s v="Customer_713"/>
    <x v="4"/>
    <x v="1"/>
    <x v="2"/>
    <s v="2025-06-24"/>
    <x v="2"/>
    <n v="0"/>
    <n v="7"/>
  </r>
  <r>
    <s v="L0714"/>
    <s v="Customer_714"/>
    <x v="0"/>
    <x v="2"/>
    <x v="0"/>
    <s v="2026-01-11"/>
    <x v="5"/>
    <n v="0"/>
    <n v="6"/>
  </r>
  <r>
    <s v="L0715"/>
    <s v="Customer_715"/>
    <x v="4"/>
    <x v="4"/>
    <x v="3"/>
    <s v="2025-01-31"/>
    <x v="4"/>
    <n v="20262"/>
    <n v="30"/>
  </r>
  <r>
    <s v="L0716"/>
    <s v="Customer_716"/>
    <x v="2"/>
    <x v="1"/>
    <x v="4"/>
    <s v="2025-02-27"/>
    <x v="2"/>
    <n v="0"/>
    <n v="2"/>
  </r>
  <r>
    <s v="L0717"/>
    <s v="Customer_717"/>
    <x v="4"/>
    <x v="3"/>
    <x v="0"/>
    <s v="2026-02-20"/>
    <x v="0"/>
    <n v="0"/>
    <n v="29"/>
  </r>
  <r>
    <s v="L0718"/>
    <s v="Customer_718"/>
    <x v="1"/>
    <x v="1"/>
    <x v="2"/>
    <s v="2025-07-02"/>
    <x v="0"/>
    <n v="0"/>
    <n v="22"/>
  </r>
  <r>
    <s v="L0719"/>
    <s v="Customer_719"/>
    <x v="5"/>
    <x v="2"/>
    <x v="1"/>
    <s v="2025-08-08"/>
    <x v="5"/>
    <n v="0"/>
    <n v="13"/>
  </r>
  <r>
    <s v="L0720"/>
    <s v="Customer_720"/>
    <x v="5"/>
    <x v="4"/>
    <x v="2"/>
    <s v="2025-07-29"/>
    <x v="0"/>
    <n v="0"/>
    <n v="19"/>
  </r>
  <r>
    <s v="L0721"/>
    <s v="Customer_721"/>
    <x v="0"/>
    <x v="3"/>
    <x v="3"/>
    <s v="2026-01-31"/>
    <x v="4"/>
    <n v="411539"/>
    <n v="28"/>
  </r>
  <r>
    <s v="L0722"/>
    <s v="Customer_722"/>
    <x v="3"/>
    <x v="3"/>
    <x v="4"/>
    <s v="2026-03-15"/>
    <x v="4"/>
    <n v="138874"/>
    <n v="18"/>
  </r>
  <r>
    <s v="L0723"/>
    <s v="Customer_723"/>
    <x v="4"/>
    <x v="4"/>
    <x v="3"/>
    <s v="2025-11-17"/>
    <x v="5"/>
    <n v="0"/>
    <n v="6"/>
  </r>
  <r>
    <s v="L0724"/>
    <s v="Customer_724"/>
    <x v="4"/>
    <x v="1"/>
    <x v="4"/>
    <s v="2026-02-18"/>
    <x v="0"/>
    <n v="0"/>
    <n v="19"/>
  </r>
  <r>
    <s v="L0725"/>
    <s v="Customer_725"/>
    <x v="0"/>
    <x v="3"/>
    <x v="4"/>
    <s v="2025-07-26"/>
    <x v="1"/>
    <n v="0"/>
    <n v="19"/>
  </r>
  <r>
    <s v="L0726"/>
    <s v="Customer_726"/>
    <x v="3"/>
    <x v="4"/>
    <x v="0"/>
    <s v="2025-09-02"/>
    <x v="4"/>
    <n v="480310"/>
    <n v="13"/>
  </r>
  <r>
    <s v="L0727"/>
    <s v="Customer_727"/>
    <x v="4"/>
    <x v="1"/>
    <x v="4"/>
    <s v="2025-04-10"/>
    <x v="0"/>
    <n v="0"/>
    <n v="9"/>
  </r>
  <r>
    <s v="L0728"/>
    <s v="Customer_728"/>
    <x v="3"/>
    <x v="2"/>
    <x v="1"/>
    <s v="2026-01-09"/>
    <x v="4"/>
    <n v="248668"/>
    <n v="27"/>
  </r>
  <r>
    <s v="L0729"/>
    <s v="Customer_729"/>
    <x v="2"/>
    <x v="4"/>
    <x v="2"/>
    <s v="2026-03-10"/>
    <x v="1"/>
    <n v="0"/>
    <n v="9"/>
  </r>
  <r>
    <s v="L0730"/>
    <s v="Customer_730"/>
    <x v="2"/>
    <x v="4"/>
    <x v="2"/>
    <s v="2025-01-23"/>
    <x v="0"/>
    <n v="0"/>
    <n v="4"/>
  </r>
  <r>
    <s v="L0731"/>
    <s v="Customer_731"/>
    <x v="2"/>
    <x v="1"/>
    <x v="2"/>
    <s v="2026-04-04"/>
    <x v="5"/>
    <n v="0"/>
    <n v="9"/>
  </r>
  <r>
    <s v="L0732"/>
    <s v="Customer_732"/>
    <x v="1"/>
    <x v="1"/>
    <x v="2"/>
    <s v="2025-06-01"/>
    <x v="3"/>
    <n v="0"/>
    <n v="21"/>
  </r>
  <r>
    <s v="L0733"/>
    <s v="Customer_733"/>
    <x v="1"/>
    <x v="1"/>
    <x v="0"/>
    <s v="2025-07-12"/>
    <x v="3"/>
    <n v="0"/>
    <n v="26"/>
  </r>
  <r>
    <s v="L0734"/>
    <s v="Customer_734"/>
    <x v="1"/>
    <x v="0"/>
    <x v="4"/>
    <s v="2025-07-03"/>
    <x v="5"/>
    <n v="0"/>
    <n v="1"/>
  </r>
  <r>
    <s v="L0735"/>
    <s v="Customer_735"/>
    <x v="1"/>
    <x v="4"/>
    <x v="3"/>
    <s v="2026-02-17"/>
    <x v="2"/>
    <n v="0"/>
    <n v="19"/>
  </r>
  <r>
    <s v="L0736"/>
    <s v="Customer_736"/>
    <x v="0"/>
    <x v="0"/>
    <x v="4"/>
    <s v="2025-09-21"/>
    <x v="0"/>
    <n v="0"/>
    <n v="28"/>
  </r>
  <r>
    <s v="L0737"/>
    <s v="Customer_737"/>
    <x v="3"/>
    <x v="0"/>
    <x v="0"/>
    <s v="2025-06-05"/>
    <x v="0"/>
    <n v="0"/>
    <n v="6"/>
  </r>
  <r>
    <s v="L0738"/>
    <s v="Customer_738"/>
    <x v="1"/>
    <x v="1"/>
    <x v="1"/>
    <s v="2025-06-11"/>
    <x v="2"/>
    <n v="0"/>
    <n v="21"/>
  </r>
  <r>
    <s v="L0739"/>
    <s v="Customer_739"/>
    <x v="5"/>
    <x v="2"/>
    <x v="4"/>
    <s v="2026-02-12"/>
    <x v="2"/>
    <n v="0"/>
    <n v="15"/>
  </r>
  <r>
    <s v="L0740"/>
    <s v="Customer_740"/>
    <x v="4"/>
    <x v="2"/>
    <x v="3"/>
    <s v="2026-03-21"/>
    <x v="4"/>
    <n v="68452"/>
    <n v="26"/>
  </r>
  <r>
    <s v="L0741"/>
    <s v="Customer_741"/>
    <x v="3"/>
    <x v="0"/>
    <x v="2"/>
    <s v="2025-10-04"/>
    <x v="3"/>
    <n v="0"/>
    <n v="30"/>
  </r>
  <r>
    <s v="L0742"/>
    <s v="Customer_742"/>
    <x v="2"/>
    <x v="3"/>
    <x v="3"/>
    <s v="2025-10-14"/>
    <x v="1"/>
    <n v="0"/>
    <n v="23"/>
  </r>
  <r>
    <s v="L0743"/>
    <s v="Customer_743"/>
    <x v="1"/>
    <x v="4"/>
    <x v="4"/>
    <s v="2026-03-01"/>
    <x v="4"/>
    <n v="161341"/>
    <n v="7"/>
  </r>
  <r>
    <s v="L0744"/>
    <s v="Customer_744"/>
    <x v="4"/>
    <x v="0"/>
    <x v="3"/>
    <s v="2026-01-30"/>
    <x v="2"/>
    <n v="0"/>
    <n v="21"/>
  </r>
  <r>
    <s v="L0745"/>
    <s v="Customer_745"/>
    <x v="4"/>
    <x v="4"/>
    <x v="3"/>
    <s v="2025-06-04"/>
    <x v="0"/>
    <n v="0"/>
    <n v="12"/>
  </r>
  <r>
    <s v="L0746"/>
    <s v="Customer_746"/>
    <x v="1"/>
    <x v="2"/>
    <x v="3"/>
    <s v="2026-01-12"/>
    <x v="1"/>
    <n v="0"/>
    <n v="19"/>
  </r>
  <r>
    <s v="L0747"/>
    <s v="Customer_747"/>
    <x v="2"/>
    <x v="3"/>
    <x v="3"/>
    <s v="2025-12-25"/>
    <x v="4"/>
    <n v="190880"/>
    <n v="5"/>
  </r>
  <r>
    <s v="L0748"/>
    <s v="Customer_748"/>
    <x v="1"/>
    <x v="0"/>
    <x v="4"/>
    <s v="2025-07-28"/>
    <x v="2"/>
    <n v="0"/>
    <n v="15"/>
  </r>
  <r>
    <s v="L0749"/>
    <s v="Customer_749"/>
    <x v="0"/>
    <x v="2"/>
    <x v="2"/>
    <s v="2025-04-24"/>
    <x v="3"/>
    <n v="0"/>
    <n v="16"/>
  </r>
  <r>
    <s v="L0750"/>
    <s v="Customer_750"/>
    <x v="0"/>
    <x v="0"/>
    <x v="3"/>
    <s v="2025-02-15"/>
    <x v="3"/>
    <n v="0"/>
    <n v="25"/>
  </r>
  <r>
    <s v="L0751"/>
    <s v="Customer_751"/>
    <x v="0"/>
    <x v="4"/>
    <x v="3"/>
    <s v="2025-11-03"/>
    <x v="0"/>
    <n v="0"/>
    <n v="29"/>
  </r>
  <r>
    <s v="L0752"/>
    <s v="Customer_752"/>
    <x v="1"/>
    <x v="1"/>
    <x v="0"/>
    <s v="2025-05-07"/>
    <x v="2"/>
    <n v="0"/>
    <n v="1"/>
  </r>
  <r>
    <s v="L0753"/>
    <s v="Customer_753"/>
    <x v="2"/>
    <x v="0"/>
    <x v="2"/>
    <s v="2025-08-15"/>
    <x v="3"/>
    <n v="0"/>
    <n v="30"/>
  </r>
  <r>
    <s v="L0754"/>
    <s v="Customer_754"/>
    <x v="2"/>
    <x v="3"/>
    <x v="1"/>
    <s v="2025-11-29"/>
    <x v="0"/>
    <n v="0"/>
    <n v="24"/>
  </r>
  <r>
    <s v="L0755"/>
    <s v="Customer_755"/>
    <x v="3"/>
    <x v="2"/>
    <x v="0"/>
    <s v="2025-01-16"/>
    <x v="4"/>
    <n v="74745"/>
    <n v="7"/>
  </r>
  <r>
    <s v="L0756"/>
    <s v="Customer_756"/>
    <x v="1"/>
    <x v="3"/>
    <x v="2"/>
    <s v="2025-09-14"/>
    <x v="1"/>
    <n v="0"/>
    <n v="13"/>
  </r>
  <r>
    <s v="L0757"/>
    <s v="Customer_757"/>
    <x v="3"/>
    <x v="2"/>
    <x v="0"/>
    <s v="2026-03-27"/>
    <x v="0"/>
    <n v="0"/>
    <n v="10"/>
  </r>
  <r>
    <s v="L0758"/>
    <s v="Customer_758"/>
    <x v="5"/>
    <x v="3"/>
    <x v="1"/>
    <s v="2025-11-11"/>
    <x v="1"/>
    <n v="0"/>
    <n v="10"/>
  </r>
  <r>
    <s v="L0759"/>
    <s v="Customer_759"/>
    <x v="5"/>
    <x v="0"/>
    <x v="3"/>
    <s v="2025-04-19"/>
    <x v="4"/>
    <n v="27936"/>
    <n v="17"/>
  </r>
  <r>
    <s v="L0760"/>
    <s v="Customer_760"/>
    <x v="4"/>
    <x v="0"/>
    <x v="1"/>
    <s v="2025-09-30"/>
    <x v="1"/>
    <n v="0"/>
    <n v="27"/>
  </r>
  <r>
    <s v="L0761"/>
    <s v="Customer_761"/>
    <x v="0"/>
    <x v="3"/>
    <x v="0"/>
    <s v="2025-12-06"/>
    <x v="1"/>
    <n v="0"/>
    <n v="1"/>
  </r>
  <r>
    <s v="L0762"/>
    <s v="Customer_762"/>
    <x v="2"/>
    <x v="0"/>
    <x v="3"/>
    <s v="2025-09-23"/>
    <x v="0"/>
    <n v="0"/>
    <n v="27"/>
  </r>
  <r>
    <s v="L0763"/>
    <s v="Customer_763"/>
    <x v="2"/>
    <x v="1"/>
    <x v="1"/>
    <s v="2025-06-05"/>
    <x v="0"/>
    <n v="0"/>
    <n v="19"/>
  </r>
  <r>
    <s v="L0764"/>
    <s v="Customer_764"/>
    <x v="4"/>
    <x v="3"/>
    <x v="3"/>
    <s v="2025-07-24"/>
    <x v="5"/>
    <n v="0"/>
    <n v="4"/>
  </r>
  <r>
    <s v="L0765"/>
    <s v="Customer_765"/>
    <x v="2"/>
    <x v="4"/>
    <x v="3"/>
    <s v="2026-01-30"/>
    <x v="5"/>
    <n v="0"/>
    <n v="22"/>
  </r>
  <r>
    <s v="L0766"/>
    <s v="Customer_766"/>
    <x v="1"/>
    <x v="4"/>
    <x v="3"/>
    <s v="2025-05-07"/>
    <x v="3"/>
    <n v="0"/>
    <n v="12"/>
  </r>
  <r>
    <s v="L0767"/>
    <s v="Customer_767"/>
    <x v="2"/>
    <x v="0"/>
    <x v="3"/>
    <s v="2025-04-10"/>
    <x v="4"/>
    <n v="131403"/>
    <n v="29"/>
  </r>
  <r>
    <s v="L0768"/>
    <s v="Customer_768"/>
    <x v="2"/>
    <x v="4"/>
    <x v="1"/>
    <s v="2025-05-11"/>
    <x v="5"/>
    <n v="0"/>
    <n v="18"/>
  </r>
  <r>
    <s v="L0769"/>
    <s v="Customer_769"/>
    <x v="5"/>
    <x v="2"/>
    <x v="2"/>
    <s v="2025-01-14"/>
    <x v="0"/>
    <n v="0"/>
    <n v="13"/>
  </r>
  <r>
    <s v="L0770"/>
    <s v="Customer_770"/>
    <x v="5"/>
    <x v="1"/>
    <x v="4"/>
    <s v="2025-09-27"/>
    <x v="3"/>
    <n v="0"/>
    <n v="26"/>
  </r>
  <r>
    <s v="L0771"/>
    <s v="Customer_771"/>
    <x v="0"/>
    <x v="2"/>
    <x v="2"/>
    <s v="2025-04-17"/>
    <x v="2"/>
    <n v="0"/>
    <n v="29"/>
  </r>
  <r>
    <s v="L0772"/>
    <s v="Customer_772"/>
    <x v="0"/>
    <x v="0"/>
    <x v="2"/>
    <s v="2025-03-17"/>
    <x v="1"/>
    <n v="0"/>
    <n v="12"/>
  </r>
  <r>
    <s v="L0773"/>
    <s v="Customer_773"/>
    <x v="3"/>
    <x v="2"/>
    <x v="0"/>
    <s v="2025-10-14"/>
    <x v="5"/>
    <n v="0"/>
    <n v="26"/>
  </r>
  <r>
    <s v="L0774"/>
    <s v="Customer_774"/>
    <x v="3"/>
    <x v="1"/>
    <x v="2"/>
    <s v="2025-03-06"/>
    <x v="1"/>
    <n v="0"/>
    <n v="29"/>
  </r>
  <r>
    <s v="L0775"/>
    <s v="Customer_775"/>
    <x v="5"/>
    <x v="3"/>
    <x v="1"/>
    <s v="2025-02-27"/>
    <x v="3"/>
    <n v="0"/>
    <n v="8"/>
  </r>
  <r>
    <s v="L0776"/>
    <s v="Customer_776"/>
    <x v="4"/>
    <x v="1"/>
    <x v="1"/>
    <s v="2026-04-15"/>
    <x v="0"/>
    <n v="0"/>
    <n v="13"/>
  </r>
  <r>
    <s v="L0777"/>
    <s v="Customer_777"/>
    <x v="3"/>
    <x v="1"/>
    <x v="3"/>
    <s v="2025-09-05"/>
    <x v="4"/>
    <n v="32850"/>
    <n v="22"/>
  </r>
  <r>
    <s v="L0778"/>
    <s v="Customer_778"/>
    <x v="5"/>
    <x v="4"/>
    <x v="0"/>
    <s v="2025-01-29"/>
    <x v="2"/>
    <n v="0"/>
    <n v="30"/>
  </r>
  <r>
    <s v="L0779"/>
    <s v="Customer_779"/>
    <x v="3"/>
    <x v="3"/>
    <x v="3"/>
    <s v="2026-04-13"/>
    <x v="5"/>
    <n v="0"/>
    <n v="10"/>
  </r>
  <r>
    <s v="L0780"/>
    <s v="Customer_780"/>
    <x v="1"/>
    <x v="1"/>
    <x v="2"/>
    <s v="2025-07-16"/>
    <x v="0"/>
    <n v="0"/>
    <n v="25"/>
  </r>
  <r>
    <s v="L0781"/>
    <s v="Customer_781"/>
    <x v="0"/>
    <x v="3"/>
    <x v="2"/>
    <s v="2025-04-14"/>
    <x v="5"/>
    <n v="0"/>
    <n v="22"/>
  </r>
  <r>
    <s v="L0782"/>
    <s v="Customer_782"/>
    <x v="4"/>
    <x v="3"/>
    <x v="1"/>
    <s v="2025-08-23"/>
    <x v="2"/>
    <n v="0"/>
    <n v="16"/>
  </r>
  <r>
    <s v="L0783"/>
    <s v="Customer_783"/>
    <x v="5"/>
    <x v="3"/>
    <x v="4"/>
    <s v="2025-10-01"/>
    <x v="0"/>
    <n v="0"/>
    <n v="25"/>
  </r>
  <r>
    <s v="L0784"/>
    <s v="Customer_784"/>
    <x v="0"/>
    <x v="2"/>
    <x v="3"/>
    <s v="2025-11-17"/>
    <x v="4"/>
    <n v="248188"/>
    <n v="17"/>
  </r>
  <r>
    <s v="L0785"/>
    <s v="Customer_785"/>
    <x v="4"/>
    <x v="4"/>
    <x v="2"/>
    <s v="2026-02-09"/>
    <x v="5"/>
    <n v="0"/>
    <n v="20"/>
  </r>
  <r>
    <s v="L0786"/>
    <s v="Customer_786"/>
    <x v="0"/>
    <x v="3"/>
    <x v="1"/>
    <s v="2025-07-04"/>
    <x v="1"/>
    <n v="0"/>
    <n v="29"/>
  </r>
  <r>
    <s v="L0787"/>
    <s v="Customer_787"/>
    <x v="3"/>
    <x v="0"/>
    <x v="3"/>
    <s v="2025-09-16"/>
    <x v="2"/>
    <n v="0"/>
    <n v="17"/>
  </r>
  <r>
    <s v="L0788"/>
    <s v="Customer_788"/>
    <x v="3"/>
    <x v="4"/>
    <x v="1"/>
    <s v="2025-06-10"/>
    <x v="2"/>
    <n v="0"/>
    <n v="6"/>
  </r>
  <r>
    <s v="L0789"/>
    <s v="Customer_789"/>
    <x v="1"/>
    <x v="3"/>
    <x v="1"/>
    <s v="2026-03-30"/>
    <x v="0"/>
    <n v="0"/>
    <n v="15"/>
  </r>
  <r>
    <s v="L0790"/>
    <s v="Customer_790"/>
    <x v="0"/>
    <x v="0"/>
    <x v="3"/>
    <s v="2025-04-30"/>
    <x v="1"/>
    <n v="0"/>
    <n v="26"/>
  </r>
  <r>
    <s v="L0791"/>
    <s v="Customer_791"/>
    <x v="3"/>
    <x v="0"/>
    <x v="0"/>
    <s v="2025-05-30"/>
    <x v="3"/>
    <n v="0"/>
    <n v="10"/>
  </r>
  <r>
    <s v="L0792"/>
    <s v="Customer_792"/>
    <x v="3"/>
    <x v="3"/>
    <x v="0"/>
    <s v="2025-02-04"/>
    <x v="3"/>
    <n v="0"/>
    <n v="17"/>
  </r>
  <r>
    <s v="L0793"/>
    <s v="Customer_793"/>
    <x v="2"/>
    <x v="1"/>
    <x v="2"/>
    <s v="2025-08-13"/>
    <x v="5"/>
    <n v="0"/>
    <n v="18"/>
  </r>
  <r>
    <s v="L0794"/>
    <s v="Customer_794"/>
    <x v="4"/>
    <x v="4"/>
    <x v="0"/>
    <s v="2025-12-07"/>
    <x v="1"/>
    <n v="0"/>
    <n v="7"/>
  </r>
  <r>
    <s v="L0795"/>
    <s v="Customer_795"/>
    <x v="3"/>
    <x v="4"/>
    <x v="3"/>
    <s v="2025-05-02"/>
    <x v="3"/>
    <n v="0"/>
    <n v="2"/>
  </r>
  <r>
    <s v="L0796"/>
    <s v="Customer_796"/>
    <x v="0"/>
    <x v="0"/>
    <x v="2"/>
    <s v="2025-02-18"/>
    <x v="1"/>
    <n v="0"/>
    <n v="21"/>
  </r>
  <r>
    <s v="L0797"/>
    <s v="Customer_797"/>
    <x v="3"/>
    <x v="4"/>
    <x v="4"/>
    <s v="2025-11-18"/>
    <x v="2"/>
    <n v="0"/>
    <n v="3"/>
  </r>
  <r>
    <s v="L0798"/>
    <s v="Customer_798"/>
    <x v="4"/>
    <x v="0"/>
    <x v="0"/>
    <s v="2025-08-06"/>
    <x v="4"/>
    <n v="56752"/>
    <n v="27"/>
  </r>
  <r>
    <s v="L0799"/>
    <s v="Customer_799"/>
    <x v="2"/>
    <x v="2"/>
    <x v="1"/>
    <s v="2025-01-28"/>
    <x v="2"/>
    <n v="0"/>
    <n v="20"/>
  </r>
  <r>
    <s v="L0800"/>
    <s v="Customer_800"/>
    <x v="2"/>
    <x v="1"/>
    <x v="2"/>
    <s v="2025-02-22"/>
    <x v="0"/>
    <n v="0"/>
    <n v="23"/>
  </r>
  <r>
    <s v="L0801"/>
    <s v="Customer_801"/>
    <x v="4"/>
    <x v="1"/>
    <x v="0"/>
    <s v="2025-01-26"/>
    <x v="3"/>
    <n v="0"/>
    <n v="18"/>
  </r>
  <r>
    <s v="L0802"/>
    <s v="Customer_802"/>
    <x v="1"/>
    <x v="3"/>
    <x v="4"/>
    <s v="2025-11-10"/>
    <x v="2"/>
    <n v="0"/>
    <n v="19"/>
  </r>
  <r>
    <s v="L0803"/>
    <s v="Customer_803"/>
    <x v="1"/>
    <x v="4"/>
    <x v="1"/>
    <s v="2025-06-05"/>
    <x v="1"/>
    <n v="0"/>
    <n v="12"/>
  </r>
  <r>
    <s v="L0804"/>
    <s v="Customer_804"/>
    <x v="2"/>
    <x v="0"/>
    <x v="2"/>
    <s v="2025-03-07"/>
    <x v="2"/>
    <n v="0"/>
    <n v="26"/>
  </r>
  <r>
    <s v="L0805"/>
    <s v="Customer_805"/>
    <x v="2"/>
    <x v="2"/>
    <x v="1"/>
    <s v="2026-02-07"/>
    <x v="2"/>
    <n v="0"/>
    <n v="23"/>
  </r>
  <r>
    <s v="L0806"/>
    <s v="Customer_806"/>
    <x v="4"/>
    <x v="0"/>
    <x v="2"/>
    <s v="2026-02-18"/>
    <x v="0"/>
    <n v="0"/>
    <n v="15"/>
  </r>
  <r>
    <s v="L0807"/>
    <s v="Customer_807"/>
    <x v="2"/>
    <x v="1"/>
    <x v="3"/>
    <s v="2026-01-10"/>
    <x v="4"/>
    <n v="33900"/>
    <n v="13"/>
  </r>
  <r>
    <s v="L0808"/>
    <s v="Customer_808"/>
    <x v="3"/>
    <x v="3"/>
    <x v="1"/>
    <s v="2025-02-11"/>
    <x v="2"/>
    <n v="0"/>
    <n v="5"/>
  </r>
  <r>
    <s v="L0809"/>
    <s v="Customer_809"/>
    <x v="5"/>
    <x v="0"/>
    <x v="2"/>
    <s v="2025-04-01"/>
    <x v="0"/>
    <n v="0"/>
    <n v="12"/>
  </r>
  <r>
    <s v="L0810"/>
    <s v="Customer_810"/>
    <x v="4"/>
    <x v="2"/>
    <x v="3"/>
    <s v="2025-09-17"/>
    <x v="0"/>
    <n v="0"/>
    <n v="24"/>
  </r>
  <r>
    <s v="L0811"/>
    <s v="Customer_811"/>
    <x v="3"/>
    <x v="2"/>
    <x v="4"/>
    <s v="2026-02-21"/>
    <x v="5"/>
    <n v="0"/>
    <n v="14"/>
  </r>
  <r>
    <s v="L0812"/>
    <s v="Customer_812"/>
    <x v="3"/>
    <x v="2"/>
    <x v="0"/>
    <s v="2026-03-02"/>
    <x v="5"/>
    <n v="0"/>
    <n v="26"/>
  </r>
  <r>
    <s v="L0813"/>
    <s v="Customer_813"/>
    <x v="5"/>
    <x v="1"/>
    <x v="2"/>
    <s v="2025-02-12"/>
    <x v="3"/>
    <n v="0"/>
    <n v="22"/>
  </r>
  <r>
    <s v="L0814"/>
    <s v="Customer_814"/>
    <x v="5"/>
    <x v="3"/>
    <x v="0"/>
    <s v="2026-03-11"/>
    <x v="5"/>
    <n v="0"/>
    <n v="4"/>
  </r>
  <r>
    <s v="L0815"/>
    <s v="Customer_815"/>
    <x v="1"/>
    <x v="0"/>
    <x v="1"/>
    <s v="2026-04-02"/>
    <x v="5"/>
    <n v="0"/>
    <n v="19"/>
  </r>
  <r>
    <s v="L0816"/>
    <s v="Customer_816"/>
    <x v="1"/>
    <x v="1"/>
    <x v="3"/>
    <s v="2025-10-07"/>
    <x v="5"/>
    <n v="0"/>
    <n v="6"/>
  </r>
  <r>
    <s v="L0817"/>
    <s v="Customer_817"/>
    <x v="3"/>
    <x v="3"/>
    <x v="1"/>
    <s v="2025-04-29"/>
    <x v="1"/>
    <n v="0"/>
    <n v="16"/>
  </r>
  <r>
    <s v="L0818"/>
    <s v="Customer_818"/>
    <x v="2"/>
    <x v="3"/>
    <x v="0"/>
    <s v="2025-01-18"/>
    <x v="3"/>
    <n v="0"/>
    <n v="29"/>
  </r>
  <r>
    <s v="L0819"/>
    <s v="Customer_819"/>
    <x v="0"/>
    <x v="3"/>
    <x v="2"/>
    <s v="2025-01-04"/>
    <x v="3"/>
    <n v="0"/>
    <n v="9"/>
  </r>
  <r>
    <s v="L0820"/>
    <s v="Customer_820"/>
    <x v="0"/>
    <x v="2"/>
    <x v="3"/>
    <s v="2026-04-11"/>
    <x v="1"/>
    <n v="0"/>
    <n v="14"/>
  </r>
  <r>
    <s v="L0821"/>
    <s v="Customer_821"/>
    <x v="2"/>
    <x v="2"/>
    <x v="3"/>
    <s v="2025-06-15"/>
    <x v="5"/>
    <n v="0"/>
    <n v="6"/>
  </r>
  <r>
    <s v="L0822"/>
    <s v="Customer_822"/>
    <x v="2"/>
    <x v="1"/>
    <x v="3"/>
    <s v="2025-02-19"/>
    <x v="2"/>
    <n v="0"/>
    <n v="12"/>
  </r>
  <r>
    <s v="L0823"/>
    <s v="Customer_823"/>
    <x v="0"/>
    <x v="2"/>
    <x v="2"/>
    <s v="2026-05-15"/>
    <x v="5"/>
    <n v="0"/>
    <n v="7"/>
  </r>
  <r>
    <s v="L0824"/>
    <s v="Customer_824"/>
    <x v="0"/>
    <x v="3"/>
    <x v="2"/>
    <s v="2026-03-19"/>
    <x v="3"/>
    <n v="0"/>
    <n v="22"/>
  </r>
  <r>
    <s v="L0825"/>
    <s v="Customer_825"/>
    <x v="1"/>
    <x v="0"/>
    <x v="3"/>
    <s v="2026-02-27"/>
    <x v="1"/>
    <n v="0"/>
    <n v="5"/>
  </r>
  <r>
    <s v="L0826"/>
    <s v="Customer_826"/>
    <x v="0"/>
    <x v="3"/>
    <x v="4"/>
    <s v="2025-05-15"/>
    <x v="2"/>
    <n v="0"/>
    <n v="22"/>
  </r>
  <r>
    <s v="L0827"/>
    <s v="Customer_827"/>
    <x v="0"/>
    <x v="3"/>
    <x v="3"/>
    <s v="2026-03-13"/>
    <x v="2"/>
    <n v="0"/>
    <n v="21"/>
  </r>
  <r>
    <s v="L0828"/>
    <s v="Customer_828"/>
    <x v="5"/>
    <x v="4"/>
    <x v="4"/>
    <s v="2025-09-05"/>
    <x v="3"/>
    <n v="0"/>
    <n v="19"/>
  </r>
  <r>
    <s v="L0829"/>
    <s v="Customer_829"/>
    <x v="1"/>
    <x v="3"/>
    <x v="4"/>
    <s v="2025-01-27"/>
    <x v="5"/>
    <n v="0"/>
    <n v="14"/>
  </r>
  <r>
    <s v="L0830"/>
    <s v="Customer_830"/>
    <x v="1"/>
    <x v="3"/>
    <x v="4"/>
    <s v="2025-02-12"/>
    <x v="0"/>
    <n v="0"/>
    <n v="13"/>
  </r>
  <r>
    <s v="L0831"/>
    <s v="Customer_831"/>
    <x v="5"/>
    <x v="1"/>
    <x v="3"/>
    <s v="2025-06-22"/>
    <x v="1"/>
    <n v="0"/>
    <n v="8"/>
  </r>
  <r>
    <s v="L0832"/>
    <s v="Customer_832"/>
    <x v="5"/>
    <x v="2"/>
    <x v="2"/>
    <s v="2025-05-31"/>
    <x v="4"/>
    <n v="382242"/>
    <n v="24"/>
  </r>
  <r>
    <s v="L0833"/>
    <s v="Customer_833"/>
    <x v="4"/>
    <x v="4"/>
    <x v="0"/>
    <s v="2025-09-12"/>
    <x v="5"/>
    <n v="0"/>
    <n v="14"/>
  </r>
  <r>
    <s v="L0834"/>
    <s v="Customer_834"/>
    <x v="2"/>
    <x v="3"/>
    <x v="1"/>
    <s v="2025-05-11"/>
    <x v="3"/>
    <n v="0"/>
    <n v="9"/>
  </r>
  <r>
    <s v="L0835"/>
    <s v="Customer_835"/>
    <x v="2"/>
    <x v="1"/>
    <x v="3"/>
    <s v="2025-04-12"/>
    <x v="5"/>
    <n v="0"/>
    <n v="27"/>
  </r>
  <r>
    <s v="L0836"/>
    <s v="Customer_836"/>
    <x v="4"/>
    <x v="2"/>
    <x v="4"/>
    <s v="2025-12-15"/>
    <x v="2"/>
    <n v="0"/>
    <n v="3"/>
  </r>
  <r>
    <s v="L0837"/>
    <s v="Customer_837"/>
    <x v="2"/>
    <x v="4"/>
    <x v="3"/>
    <s v="2025-05-31"/>
    <x v="4"/>
    <n v="370704"/>
    <n v="9"/>
  </r>
  <r>
    <s v="L0838"/>
    <s v="Customer_838"/>
    <x v="3"/>
    <x v="2"/>
    <x v="1"/>
    <s v="2026-02-16"/>
    <x v="0"/>
    <n v="0"/>
    <n v="11"/>
  </r>
  <r>
    <s v="L0839"/>
    <s v="Customer_839"/>
    <x v="2"/>
    <x v="0"/>
    <x v="0"/>
    <s v="2025-12-04"/>
    <x v="2"/>
    <n v="0"/>
    <n v="11"/>
  </r>
  <r>
    <s v="L0840"/>
    <s v="Customer_840"/>
    <x v="0"/>
    <x v="4"/>
    <x v="3"/>
    <s v="2026-04-16"/>
    <x v="2"/>
    <n v="0"/>
    <n v="3"/>
  </r>
  <r>
    <s v="L0841"/>
    <s v="Customer_841"/>
    <x v="0"/>
    <x v="1"/>
    <x v="1"/>
    <s v="2025-03-09"/>
    <x v="3"/>
    <n v="0"/>
    <n v="11"/>
  </r>
  <r>
    <s v="L0842"/>
    <s v="Customer_842"/>
    <x v="4"/>
    <x v="3"/>
    <x v="0"/>
    <s v="2025-10-28"/>
    <x v="2"/>
    <n v="0"/>
    <n v="25"/>
  </r>
  <r>
    <s v="L0843"/>
    <s v="Customer_843"/>
    <x v="4"/>
    <x v="3"/>
    <x v="0"/>
    <s v="2026-04-14"/>
    <x v="4"/>
    <n v="368220"/>
    <n v="20"/>
  </r>
  <r>
    <s v="L0844"/>
    <s v="Customer_844"/>
    <x v="0"/>
    <x v="2"/>
    <x v="3"/>
    <s v="2025-06-07"/>
    <x v="4"/>
    <n v="262437"/>
    <n v="8"/>
  </r>
  <r>
    <s v="L0845"/>
    <s v="Customer_845"/>
    <x v="1"/>
    <x v="1"/>
    <x v="1"/>
    <s v="2025-10-09"/>
    <x v="3"/>
    <n v="0"/>
    <n v="11"/>
  </r>
  <r>
    <s v="L0846"/>
    <s v="Customer_846"/>
    <x v="5"/>
    <x v="1"/>
    <x v="0"/>
    <s v="2025-04-28"/>
    <x v="0"/>
    <n v="0"/>
    <n v="28"/>
  </r>
  <r>
    <s v="L0847"/>
    <s v="Customer_847"/>
    <x v="5"/>
    <x v="2"/>
    <x v="1"/>
    <s v="2025-01-14"/>
    <x v="3"/>
    <n v="0"/>
    <n v="6"/>
  </r>
  <r>
    <s v="L0848"/>
    <s v="Customer_848"/>
    <x v="2"/>
    <x v="2"/>
    <x v="4"/>
    <s v="2026-01-19"/>
    <x v="4"/>
    <n v="416008"/>
    <n v="21"/>
  </r>
  <r>
    <s v="L0849"/>
    <s v="Customer_849"/>
    <x v="3"/>
    <x v="0"/>
    <x v="1"/>
    <s v="2025-02-22"/>
    <x v="3"/>
    <n v="0"/>
    <n v="17"/>
  </r>
  <r>
    <s v="L0850"/>
    <s v="Customer_850"/>
    <x v="0"/>
    <x v="0"/>
    <x v="2"/>
    <s v="2026-05-09"/>
    <x v="0"/>
    <n v="0"/>
    <n v="21"/>
  </r>
  <r>
    <s v="L0851"/>
    <s v="Customer_851"/>
    <x v="4"/>
    <x v="2"/>
    <x v="2"/>
    <s v="2025-11-05"/>
    <x v="4"/>
    <n v="279449"/>
    <n v="11"/>
  </r>
  <r>
    <s v="L0852"/>
    <s v="Customer_852"/>
    <x v="5"/>
    <x v="4"/>
    <x v="0"/>
    <s v="2026-03-12"/>
    <x v="0"/>
    <n v="0"/>
    <n v="16"/>
  </r>
  <r>
    <s v="L0853"/>
    <s v="Customer_853"/>
    <x v="2"/>
    <x v="3"/>
    <x v="3"/>
    <s v="2026-01-05"/>
    <x v="0"/>
    <n v="0"/>
    <n v="27"/>
  </r>
  <r>
    <s v="L0854"/>
    <s v="Customer_854"/>
    <x v="3"/>
    <x v="4"/>
    <x v="4"/>
    <s v="2026-03-18"/>
    <x v="3"/>
    <n v="0"/>
    <n v="9"/>
  </r>
  <r>
    <s v="L0855"/>
    <s v="Customer_855"/>
    <x v="2"/>
    <x v="4"/>
    <x v="3"/>
    <s v="2025-09-20"/>
    <x v="4"/>
    <n v="313241"/>
    <n v="19"/>
  </r>
  <r>
    <s v="L0856"/>
    <s v="Customer_856"/>
    <x v="2"/>
    <x v="4"/>
    <x v="2"/>
    <s v="2025-08-04"/>
    <x v="4"/>
    <n v="449901"/>
    <n v="25"/>
  </r>
  <r>
    <s v="L0857"/>
    <s v="Customer_857"/>
    <x v="1"/>
    <x v="2"/>
    <x v="4"/>
    <s v="2025-04-20"/>
    <x v="2"/>
    <n v="0"/>
    <n v="13"/>
  </r>
  <r>
    <s v="L0858"/>
    <s v="Customer_858"/>
    <x v="3"/>
    <x v="3"/>
    <x v="2"/>
    <s v="2025-09-14"/>
    <x v="3"/>
    <n v="0"/>
    <n v="29"/>
  </r>
  <r>
    <s v="L0859"/>
    <s v="Customer_859"/>
    <x v="3"/>
    <x v="3"/>
    <x v="4"/>
    <s v="2025-03-10"/>
    <x v="3"/>
    <n v="0"/>
    <n v="7"/>
  </r>
  <r>
    <s v="L0860"/>
    <s v="Customer_860"/>
    <x v="4"/>
    <x v="0"/>
    <x v="0"/>
    <s v="2025-03-28"/>
    <x v="0"/>
    <n v="0"/>
    <n v="11"/>
  </r>
  <r>
    <s v="L0861"/>
    <s v="Customer_861"/>
    <x v="2"/>
    <x v="0"/>
    <x v="0"/>
    <s v="2026-03-07"/>
    <x v="0"/>
    <n v="0"/>
    <n v="28"/>
  </r>
  <r>
    <s v="L0862"/>
    <s v="Customer_862"/>
    <x v="2"/>
    <x v="2"/>
    <x v="3"/>
    <s v="2025-07-06"/>
    <x v="1"/>
    <n v="0"/>
    <n v="15"/>
  </r>
  <r>
    <s v="L0863"/>
    <s v="Customer_863"/>
    <x v="4"/>
    <x v="3"/>
    <x v="3"/>
    <s v="2025-09-30"/>
    <x v="3"/>
    <n v="0"/>
    <n v="24"/>
  </r>
  <r>
    <s v="L0864"/>
    <s v="Customer_864"/>
    <x v="2"/>
    <x v="4"/>
    <x v="2"/>
    <s v="2025-10-10"/>
    <x v="5"/>
    <n v="0"/>
    <n v="5"/>
  </r>
  <r>
    <s v="L0865"/>
    <s v="Customer_865"/>
    <x v="3"/>
    <x v="4"/>
    <x v="0"/>
    <s v="2025-02-06"/>
    <x v="4"/>
    <n v="364788"/>
    <n v="23"/>
  </r>
  <r>
    <s v="L0866"/>
    <s v="Customer_866"/>
    <x v="3"/>
    <x v="2"/>
    <x v="2"/>
    <s v="2025-09-28"/>
    <x v="3"/>
    <n v="0"/>
    <n v="1"/>
  </r>
  <r>
    <s v="L0867"/>
    <s v="Customer_867"/>
    <x v="2"/>
    <x v="0"/>
    <x v="2"/>
    <s v="2025-05-12"/>
    <x v="1"/>
    <n v="0"/>
    <n v="13"/>
  </r>
  <r>
    <s v="L0868"/>
    <s v="Customer_868"/>
    <x v="2"/>
    <x v="4"/>
    <x v="2"/>
    <s v="2025-02-27"/>
    <x v="0"/>
    <n v="0"/>
    <n v="9"/>
  </r>
  <r>
    <s v="L0869"/>
    <s v="Customer_869"/>
    <x v="3"/>
    <x v="3"/>
    <x v="2"/>
    <s v="2025-06-13"/>
    <x v="2"/>
    <n v="0"/>
    <n v="22"/>
  </r>
  <r>
    <s v="L0870"/>
    <s v="Customer_870"/>
    <x v="3"/>
    <x v="0"/>
    <x v="1"/>
    <s v="2025-04-02"/>
    <x v="4"/>
    <n v="482579"/>
    <n v="16"/>
  </r>
  <r>
    <s v="L0871"/>
    <s v="Customer_871"/>
    <x v="1"/>
    <x v="0"/>
    <x v="3"/>
    <s v="2026-03-30"/>
    <x v="0"/>
    <n v="0"/>
    <n v="28"/>
  </r>
  <r>
    <s v="L0872"/>
    <s v="Customer_872"/>
    <x v="0"/>
    <x v="3"/>
    <x v="4"/>
    <s v="2025-06-21"/>
    <x v="2"/>
    <n v="0"/>
    <n v="5"/>
  </r>
  <r>
    <s v="L0873"/>
    <s v="Customer_873"/>
    <x v="5"/>
    <x v="3"/>
    <x v="0"/>
    <s v="2026-05-03"/>
    <x v="2"/>
    <n v="0"/>
    <n v="28"/>
  </r>
  <r>
    <s v="L0874"/>
    <s v="Customer_874"/>
    <x v="0"/>
    <x v="4"/>
    <x v="1"/>
    <s v="2025-05-17"/>
    <x v="4"/>
    <n v="480128"/>
    <n v="24"/>
  </r>
  <r>
    <s v="L0875"/>
    <s v="Customer_875"/>
    <x v="1"/>
    <x v="1"/>
    <x v="0"/>
    <s v="2025-05-30"/>
    <x v="3"/>
    <n v="0"/>
    <n v="9"/>
  </r>
  <r>
    <s v="L0876"/>
    <s v="Customer_876"/>
    <x v="2"/>
    <x v="4"/>
    <x v="4"/>
    <s v="2025-03-13"/>
    <x v="5"/>
    <n v="0"/>
    <n v="3"/>
  </r>
  <r>
    <s v="L0877"/>
    <s v="Customer_877"/>
    <x v="2"/>
    <x v="4"/>
    <x v="3"/>
    <s v="2025-03-16"/>
    <x v="3"/>
    <n v="0"/>
    <n v="23"/>
  </r>
  <r>
    <s v="L0878"/>
    <s v="Customer_878"/>
    <x v="5"/>
    <x v="4"/>
    <x v="3"/>
    <s v="2026-05-16"/>
    <x v="0"/>
    <n v="0"/>
    <n v="16"/>
  </r>
  <r>
    <s v="L0879"/>
    <s v="Customer_879"/>
    <x v="1"/>
    <x v="3"/>
    <x v="0"/>
    <s v="2026-01-30"/>
    <x v="0"/>
    <n v="0"/>
    <n v="8"/>
  </r>
  <r>
    <s v="L0880"/>
    <s v="Customer_880"/>
    <x v="2"/>
    <x v="4"/>
    <x v="0"/>
    <s v="2025-12-05"/>
    <x v="0"/>
    <n v="0"/>
    <n v="2"/>
  </r>
  <r>
    <s v="L0881"/>
    <s v="Customer_881"/>
    <x v="2"/>
    <x v="2"/>
    <x v="4"/>
    <s v="2025-06-17"/>
    <x v="2"/>
    <n v="0"/>
    <n v="2"/>
  </r>
  <r>
    <s v="L0882"/>
    <s v="Customer_882"/>
    <x v="0"/>
    <x v="0"/>
    <x v="1"/>
    <s v="2025-11-30"/>
    <x v="5"/>
    <n v="0"/>
    <n v="15"/>
  </r>
  <r>
    <s v="L0883"/>
    <s v="Customer_883"/>
    <x v="3"/>
    <x v="3"/>
    <x v="3"/>
    <s v="2025-08-18"/>
    <x v="1"/>
    <n v="0"/>
    <n v="18"/>
  </r>
  <r>
    <s v="L0884"/>
    <s v="Customer_884"/>
    <x v="2"/>
    <x v="4"/>
    <x v="0"/>
    <s v="2026-04-04"/>
    <x v="0"/>
    <n v="0"/>
    <n v="28"/>
  </r>
  <r>
    <s v="L0885"/>
    <s v="Customer_885"/>
    <x v="1"/>
    <x v="2"/>
    <x v="4"/>
    <s v="2026-04-09"/>
    <x v="0"/>
    <n v="0"/>
    <n v="7"/>
  </r>
  <r>
    <s v="L0886"/>
    <s v="Customer_886"/>
    <x v="3"/>
    <x v="1"/>
    <x v="4"/>
    <s v="2026-04-26"/>
    <x v="4"/>
    <n v="84046"/>
    <n v="2"/>
  </r>
  <r>
    <s v="L0887"/>
    <s v="Customer_887"/>
    <x v="1"/>
    <x v="1"/>
    <x v="0"/>
    <s v="2025-11-05"/>
    <x v="3"/>
    <n v="0"/>
    <n v="20"/>
  </r>
  <r>
    <s v="L0888"/>
    <s v="Customer_888"/>
    <x v="1"/>
    <x v="2"/>
    <x v="1"/>
    <s v="2025-12-23"/>
    <x v="3"/>
    <n v="0"/>
    <n v="23"/>
  </r>
  <r>
    <s v="L0889"/>
    <s v="Customer_889"/>
    <x v="2"/>
    <x v="1"/>
    <x v="0"/>
    <s v="2025-01-05"/>
    <x v="2"/>
    <n v="0"/>
    <n v="29"/>
  </r>
  <r>
    <s v="L0890"/>
    <s v="Customer_890"/>
    <x v="2"/>
    <x v="4"/>
    <x v="2"/>
    <s v="2025-03-07"/>
    <x v="1"/>
    <n v="0"/>
    <n v="10"/>
  </r>
  <r>
    <s v="L0891"/>
    <s v="Customer_891"/>
    <x v="0"/>
    <x v="4"/>
    <x v="1"/>
    <s v="2025-02-13"/>
    <x v="2"/>
    <n v="0"/>
    <n v="11"/>
  </r>
  <r>
    <s v="L0892"/>
    <s v="Customer_892"/>
    <x v="5"/>
    <x v="1"/>
    <x v="1"/>
    <s v="2025-07-19"/>
    <x v="5"/>
    <n v="0"/>
    <n v="2"/>
  </r>
  <r>
    <s v="L0893"/>
    <s v="Customer_893"/>
    <x v="2"/>
    <x v="4"/>
    <x v="1"/>
    <s v="2026-05-14"/>
    <x v="3"/>
    <n v="0"/>
    <n v="20"/>
  </r>
  <r>
    <s v="L0894"/>
    <s v="Customer_894"/>
    <x v="4"/>
    <x v="3"/>
    <x v="4"/>
    <s v="2025-07-18"/>
    <x v="5"/>
    <n v="0"/>
    <n v="16"/>
  </r>
  <r>
    <s v="L0895"/>
    <s v="Customer_895"/>
    <x v="3"/>
    <x v="3"/>
    <x v="0"/>
    <s v="2026-05-05"/>
    <x v="3"/>
    <n v="0"/>
    <n v="27"/>
  </r>
  <r>
    <s v="L0896"/>
    <s v="Customer_896"/>
    <x v="0"/>
    <x v="2"/>
    <x v="4"/>
    <s v="2025-03-24"/>
    <x v="3"/>
    <n v="0"/>
    <n v="22"/>
  </r>
  <r>
    <s v="L0897"/>
    <s v="Customer_897"/>
    <x v="2"/>
    <x v="3"/>
    <x v="1"/>
    <s v="2025-05-17"/>
    <x v="4"/>
    <n v="416896"/>
    <n v="24"/>
  </r>
  <r>
    <s v="L0898"/>
    <s v="Customer_898"/>
    <x v="0"/>
    <x v="4"/>
    <x v="0"/>
    <s v="2026-02-25"/>
    <x v="1"/>
    <n v="0"/>
    <n v="24"/>
  </r>
  <r>
    <s v="L0899"/>
    <s v="Customer_899"/>
    <x v="1"/>
    <x v="3"/>
    <x v="2"/>
    <s v="2026-02-26"/>
    <x v="0"/>
    <n v="0"/>
    <n v="28"/>
  </r>
  <r>
    <s v="L0900"/>
    <s v="Customer_900"/>
    <x v="5"/>
    <x v="4"/>
    <x v="4"/>
    <s v="2025-06-23"/>
    <x v="0"/>
    <n v="0"/>
    <n v="25"/>
  </r>
  <r>
    <s v="L0901"/>
    <s v="Customer_901"/>
    <x v="5"/>
    <x v="2"/>
    <x v="4"/>
    <s v="2026-03-16"/>
    <x v="3"/>
    <n v="0"/>
    <n v="30"/>
  </r>
  <r>
    <s v="L0902"/>
    <s v="Customer_902"/>
    <x v="3"/>
    <x v="0"/>
    <x v="1"/>
    <s v="2026-05-04"/>
    <x v="4"/>
    <n v="395079"/>
    <n v="14"/>
  </r>
  <r>
    <s v="L0903"/>
    <s v="Customer_903"/>
    <x v="5"/>
    <x v="3"/>
    <x v="4"/>
    <s v="2026-04-12"/>
    <x v="5"/>
    <n v="0"/>
    <n v="4"/>
  </r>
  <r>
    <s v="L0904"/>
    <s v="Customer_904"/>
    <x v="3"/>
    <x v="0"/>
    <x v="4"/>
    <s v="2026-01-29"/>
    <x v="4"/>
    <n v="306617"/>
    <n v="10"/>
  </r>
  <r>
    <s v="L0905"/>
    <s v="Customer_905"/>
    <x v="1"/>
    <x v="1"/>
    <x v="1"/>
    <s v="2026-03-29"/>
    <x v="2"/>
    <n v="0"/>
    <n v="12"/>
  </r>
  <r>
    <s v="L0906"/>
    <s v="Customer_906"/>
    <x v="4"/>
    <x v="2"/>
    <x v="0"/>
    <s v="2025-03-18"/>
    <x v="0"/>
    <n v="0"/>
    <n v="26"/>
  </r>
  <r>
    <s v="L0907"/>
    <s v="Customer_907"/>
    <x v="4"/>
    <x v="0"/>
    <x v="4"/>
    <s v="2025-03-08"/>
    <x v="0"/>
    <n v="0"/>
    <n v="19"/>
  </r>
  <r>
    <s v="L0908"/>
    <s v="Customer_908"/>
    <x v="0"/>
    <x v="2"/>
    <x v="4"/>
    <s v="2025-06-30"/>
    <x v="0"/>
    <n v="0"/>
    <n v="19"/>
  </r>
  <r>
    <s v="L0909"/>
    <s v="Customer_909"/>
    <x v="3"/>
    <x v="0"/>
    <x v="4"/>
    <s v="2025-11-11"/>
    <x v="0"/>
    <n v="0"/>
    <n v="25"/>
  </r>
  <r>
    <s v="L0910"/>
    <s v="Customer_910"/>
    <x v="1"/>
    <x v="3"/>
    <x v="1"/>
    <s v="2025-12-24"/>
    <x v="1"/>
    <n v="0"/>
    <n v="13"/>
  </r>
  <r>
    <s v="L0911"/>
    <s v="Customer_911"/>
    <x v="3"/>
    <x v="4"/>
    <x v="0"/>
    <s v="2025-06-18"/>
    <x v="3"/>
    <n v="0"/>
    <n v="30"/>
  </r>
  <r>
    <s v="L0912"/>
    <s v="Customer_912"/>
    <x v="0"/>
    <x v="0"/>
    <x v="1"/>
    <s v="2025-06-24"/>
    <x v="4"/>
    <n v="83000"/>
    <n v="23"/>
  </r>
  <r>
    <s v="L0913"/>
    <s v="Customer_913"/>
    <x v="4"/>
    <x v="4"/>
    <x v="4"/>
    <s v="2025-12-16"/>
    <x v="3"/>
    <n v="0"/>
    <n v="24"/>
  </r>
  <r>
    <s v="L0914"/>
    <s v="Customer_914"/>
    <x v="5"/>
    <x v="4"/>
    <x v="2"/>
    <s v="2025-07-17"/>
    <x v="4"/>
    <n v="64272"/>
    <n v="9"/>
  </r>
  <r>
    <s v="L0915"/>
    <s v="Customer_915"/>
    <x v="3"/>
    <x v="0"/>
    <x v="2"/>
    <s v="2025-11-18"/>
    <x v="1"/>
    <n v="0"/>
    <n v="8"/>
  </r>
  <r>
    <s v="L0916"/>
    <s v="Customer_916"/>
    <x v="5"/>
    <x v="2"/>
    <x v="0"/>
    <s v="2025-12-07"/>
    <x v="4"/>
    <n v="200008"/>
    <n v="4"/>
  </r>
  <r>
    <s v="L0917"/>
    <s v="Customer_917"/>
    <x v="1"/>
    <x v="1"/>
    <x v="3"/>
    <s v="2025-09-16"/>
    <x v="5"/>
    <n v="0"/>
    <n v="10"/>
  </r>
  <r>
    <s v="L0918"/>
    <s v="Customer_918"/>
    <x v="1"/>
    <x v="4"/>
    <x v="4"/>
    <s v="2025-10-24"/>
    <x v="2"/>
    <n v="0"/>
    <n v="29"/>
  </r>
  <r>
    <s v="L0919"/>
    <s v="Customer_919"/>
    <x v="2"/>
    <x v="4"/>
    <x v="2"/>
    <s v="2026-04-10"/>
    <x v="0"/>
    <n v="0"/>
    <n v="13"/>
  </r>
  <r>
    <s v="L0920"/>
    <s v="Customer_920"/>
    <x v="1"/>
    <x v="2"/>
    <x v="2"/>
    <s v="2025-11-12"/>
    <x v="4"/>
    <n v="76089"/>
    <n v="22"/>
  </r>
  <r>
    <s v="L0921"/>
    <s v="Customer_921"/>
    <x v="3"/>
    <x v="0"/>
    <x v="0"/>
    <s v="2026-05-01"/>
    <x v="2"/>
    <n v="0"/>
    <n v="16"/>
  </r>
  <r>
    <s v="L0922"/>
    <s v="Customer_922"/>
    <x v="5"/>
    <x v="0"/>
    <x v="0"/>
    <s v="2025-03-30"/>
    <x v="1"/>
    <n v="0"/>
    <n v="11"/>
  </r>
  <r>
    <s v="L0923"/>
    <s v="Customer_923"/>
    <x v="0"/>
    <x v="0"/>
    <x v="0"/>
    <s v="2026-01-01"/>
    <x v="3"/>
    <n v="0"/>
    <n v="23"/>
  </r>
  <r>
    <s v="L0924"/>
    <s v="Customer_924"/>
    <x v="5"/>
    <x v="3"/>
    <x v="0"/>
    <s v="2025-09-03"/>
    <x v="5"/>
    <n v="0"/>
    <n v="25"/>
  </r>
  <r>
    <s v="L0925"/>
    <s v="Customer_925"/>
    <x v="0"/>
    <x v="4"/>
    <x v="4"/>
    <s v="2026-02-21"/>
    <x v="1"/>
    <n v="0"/>
    <n v="8"/>
  </r>
  <r>
    <s v="L0926"/>
    <s v="Customer_926"/>
    <x v="4"/>
    <x v="3"/>
    <x v="1"/>
    <s v="2025-10-12"/>
    <x v="2"/>
    <n v="0"/>
    <n v="10"/>
  </r>
  <r>
    <s v="L0927"/>
    <s v="Customer_927"/>
    <x v="4"/>
    <x v="1"/>
    <x v="1"/>
    <s v="2025-06-01"/>
    <x v="2"/>
    <n v="0"/>
    <n v="28"/>
  </r>
  <r>
    <s v="L0928"/>
    <s v="Customer_928"/>
    <x v="1"/>
    <x v="1"/>
    <x v="2"/>
    <s v="2026-02-15"/>
    <x v="1"/>
    <n v="0"/>
    <n v="30"/>
  </r>
  <r>
    <s v="L0929"/>
    <s v="Customer_929"/>
    <x v="4"/>
    <x v="0"/>
    <x v="3"/>
    <s v="2025-07-17"/>
    <x v="0"/>
    <n v="0"/>
    <n v="26"/>
  </r>
  <r>
    <s v="L0930"/>
    <s v="Customer_930"/>
    <x v="5"/>
    <x v="3"/>
    <x v="1"/>
    <s v="2025-09-07"/>
    <x v="1"/>
    <n v="0"/>
    <n v="27"/>
  </r>
  <r>
    <s v="L0931"/>
    <s v="Customer_931"/>
    <x v="4"/>
    <x v="4"/>
    <x v="2"/>
    <s v="2025-12-08"/>
    <x v="5"/>
    <n v="0"/>
    <n v="20"/>
  </r>
  <r>
    <s v="L0932"/>
    <s v="Customer_932"/>
    <x v="2"/>
    <x v="0"/>
    <x v="0"/>
    <s v="2026-04-11"/>
    <x v="0"/>
    <n v="0"/>
    <n v="23"/>
  </r>
  <r>
    <s v="L0933"/>
    <s v="Customer_933"/>
    <x v="4"/>
    <x v="2"/>
    <x v="2"/>
    <s v="2025-05-05"/>
    <x v="4"/>
    <n v="332498"/>
    <n v="12"/>
  </r>
  <r>
    <s v="L0934"/>
    <s v="Customer_934"/>
    <x v="3"/>
    <x v="2"/>
    <x v="0"/>
    <s v="2026-01-12"/>
    <x v="3"/>
    <n v="0"/>
    <n v="12"/>
  </r>
  <r>
    <s v="L0935"/>
    <s v="Customer_935"/>
    <x v="5"/>
    <x v="2"/>
    <x v="2"/>
    <s v="2025-08-18"/>
    <x v="0"/>
    <n v="0"/>
    <n v="26"/>
  </r>
  <r>
    <s v="L0936"/>
    <s v="Customer_936"/>
    <x v="4"/>
    <x v="2"/>
    <x v="1"/>
    <s v="2026-05-02"/>
    <x v="4"/>
    <n v="222102"/>
    <n v="16"/>
  </r>
  <r>
    <s v="L0937"/>
    <s v="Customer_937"/>
    <x v="1"/>
    <x v="0"/>
    <x v="2"/>
    <s v="2025-09-16"/>
    <x v="4"/>
    <n v="313283"/>
    <n v="29"/>
  </r>
  <r>
    <s v="L0938"/>
    <s v="Customer_938"/>
    <x v="1"/>
    <x v="0"/>
    <x v="3"/>
    <s v="2025-08-16"/>
    <x v="1"/>
    <n v="0"/>
    <n v="25"/>
  </r>
  <r>
    <s v="L0939"/>
    <s v="Customer_939"/>
    <x v="2"/>
    <x v="2"/>
    <x v="1"/>
    <s v="2025-01-16"/>
    <x v="3"/>
    <n v="0"/>
    <n v="16"/>
  </r>
  <r>
    <s v="L0940"/>
    <s v="Customer_940"/>
    <x v="3"/>
    <x v="3"/>
    <x v="0"/>
    <s v="2025-03-22"/>
    <x v="1"/>
    <n v="0"/>
    <n v="7"/>
  </r>
  <r>
    <s v="L0941"/>
    <s v="Customer_941"/>
    <x v="5"/>
    <x v="0"/>
    <x v="4"/>
    <s v="2026-03-08"/>
    <x v="4"/>
    <n v="340560"/>
    <n v="2"/>
  </r>
  <r>
    <s v="L0942"/>
    <s v="Customer_942"/>
    <x v="3"/>
    <x v="1"/>
    <x v="0"/>
    <s v="2025-09-03"/>
    <x v="4"/>
    <n v="328225"/>
    <n v="16"/>
  </r>
  <r>
    <s v="L0943"/>
    <s v="Customer_943"/>
    <x v="4"/>
    <x v="4"/>
    <x v="3"/>
    <s v="2025-03-17"/>
    <x v="1"/>
    <n v="0"/>
    <n v="3"/>
  </r>
  <r>
    <s v="L0944"/>
    <s v="Customer_944"/>
    <x v="5"/>
    <x v="4"/>
    <x v="3"/>
    <s v="2025-01-15"/>
    <x v="4"/>
    <n v="228830"/>
    <n v="15"/>
  </r>
  <r>
    <s v="L0945"/>
    <s v="Customer_945"/>
    <x v="3"/>
    <x v="1"/>
    <x v="3"/>
    <s v="2025-03-14"/>
    <x v="2"/>
    <n v="0"/>
    <n v="4"/>
  </r>
  <r>
    <s v="L0946"/>
    <s v="Customer_946"/>
    <x v="2"/>
    <x v="3"/>
    <x v="1"/>
    <s v="2025-07-18"/>
    <x v="0"/>
    <n v="0"/>
    <n v="25"/>
  </r>
  <r>
    <s v="L0947"/>
    <s v="Customer_947"/>
    <x v="2"/>
    <x v="4"/>
    <x v="4"/>
    <s v="2025-01-07"/>
    <x v="3"/>
    <n v="0"/>
    <n v="20"/>
  </r>
  <r>
    <s v="L0948"/>
    <s v="Customer_948"/>
    <x v="2"/>
    <x v="3"/>
    <x v="0"/>
    <s v="2026-01-24"/>
    <x v="5"/>
    <n v="0"/>
    <n v="11"/>
  </r>
  <r>
    <s v="L0949"/>
    <s v="Customer_949"/>
    <x v="4"/>
    <x v="3"/>
    <x v="1"/>
    <s v="2025-09-09"/>
    <x v="4"/>
    <n v="62095"/>
    <n v="27"/>
  </r>
  <r>
    <s v="L0950"/>
    <s v="Customer_950"/>
    <x v="0"/>
    <x v="3"/>
    <x v="3"/>
    <s v="2025-12-16"/>
    <x v="3"/>
    <n v="0"/>
    <n v="22"/>
  </r>
  <r>
    <s v="L0951"/>
    <s v="Customer_951"/>
    <x v="0"/>
    <x v="3"/>
    <x v="4"/>
    <s v="2025-07-23"/>
    <x v="0"/>
    <n v="0"/>
    <n v="8"/>
  </r>
  <r>
    <s v="L0952"/>
    <s v="Customer_952"/>
    <x v="5"/>
    <x v="1"/>
    <x v="4"/>
    <s v="2025-04-25"/>
    <x v="5"/>
    <n v="0"/>
    <n v="19"/>
  </r>
  <r>
    <s v="L0953"/>
    <s v="Customer_953"/>
    <x v="2"/>
    <x v="3"/>
    <x v="4"/>
    <s v="2025-11-01"/>
    <x v="1"/>
    <n v="0"/>
    <n v="20"/>
  </r>
  <r>
    <s v="L0954"/>
    <s v="Customer_954"/>
    <x v="2"/>
    <x v="0"/>
    <x v="4"/>
    <s v="2025-08-30"/>
    <x v="4"/>
    <n v="27594"/>
    <n v="22"/>
  </r>
  <r>
    <s v="L0955"/>
    <s v="Customer_955"/>
    <x v="3"/>
    <x v="2"/>
    <x v="2"/>
    <s v="2025-11-05"/>
    <x v="5"/>
    <n v="0"/>
    <n v="19"/>
  </r>
  <r>
    <s v="L0956"/>
    <s v="Customer_956"/>
    <x v="1"/>
    <x v="3"/>
    <x v="4"/>
    <s v="2025-09-21"/>
    <x v="2"/>
    <n v="0"/>
    <n v="30"/>
  </r>
  <r>
    <s v="L0957"/>
    <s v="Customer_957"/>
    <x v="3"/>
    <x v="4"/>
    <x v="4"/>
    <s v="2025-07-29"/>
    <x v="0"/>
    <n v="0"/>
    <n v="24"/>
  </r>
  <r>
    <s v="L0958"/>
    <s v="Customer_958"/>
    <x v="0"/>
    <x v="1"/>
    <x v="2"/>
    <s v="2025-02-25"/>
    <x v="5"/>
    <n v="0"/>
    <n v="14"/>
  </r>
  <r>
    <s v="L0959"/>
    <s v="Customer_959"/>
    <x v="1"/>
    <x v="2"/>
    <x v="2"/>
    <s v="2025-03-28"/>
    <x v="5"/>
    <n v="0"/>
    <n v="27"/>
  </r>
  <r>
    <s v="L0960"/>
    <s v="Customer_960"/>
    <x v="1"/>
    <x v="4"/>
    <x v="3"/>
    <s v="2025-05-18"/>
    <x v="1"/>
    <n v="0"/>
    <n v="16"/>
  </r>
  <r>
    <s v="L0961"/>
    <s v="Customer_961"/>
    <x v="1"/>
    <x v="0"/>
    <x v="3"/>
    <s v="2025-12-15"/>
    <x v="5"/>
    <n v="0"/>
    <n v="11"/>
  </r>
  <r>
    <s v="L0962"/>
    <s v="Customer_962"/>
    <x v="5"/>
    <x v="3"/>
    <x v="4"/>
    <s v="2025-02-06"/>
    <x v="5"/>
    <n v="0"/>
    <n v="3"/>
  </r>
  <r>
    <s v="L0963"/>
    <s v="Customer_963"/>
    <x v="0"/>
    <x v="3"/>
    <x v="0"/>
    <s v="2026-02-16"/>
    <x v="5"/>
    <n v="0"/>
    <n v="5"/>
  </r>
  <r>
    <s v="L0964"/>
    <s v="Customer_964"/>
    <x v="5"/>
    <x v="3"/>
    <x v="2"/>
    <s v="2025-10-21"/>
    <x v="4"/>
    <n v="378230"/>
    <n v="11"/>
  </r>
  <r>
    <s v="L0965"/>
    <s v="Customer_965"/>
    <x v="2"/>
    <x v="0"/>
    <x v="3"/>
    <s v="2025-06-07"/>
    <x v="0"/>
    <n v="0"/>
    <n v="11"/>
  </r>
  <r>
    <s v="L0966"/>
    <s v="Customer_966"/>
    <x v="3"/>
    <x v="3"/>
    <x v="1"/>
    <s v="2025-07-25"/>
    <x v="5"/>
    <n v="0"/>
    <n v="11"/>
  </r>
  <r>
    <s v="L0967"/>
    <s v="Customer_967"/>
    <x v="3"/>
    <x v="2"/>
    <x v="1"/>
    <s v="2025-01-14"/>
    <x v="4"/>
    <n v="109018"/>
    <n v="30"/>
  </r>
  <r>
    <s v="L0968"/>
    <s v="Customer_968"/>
    <x v="4"/>
    <x v="0"/>
    <x v="3"/>
    <s v="2026-05-05"/>
    <x v="2"/>
    <n v="0"/>
    <n v="21"/>
  </r>
  <r>
    <s v="L0969"/>
    <s v="Customer_969"/>
    <x v="0"/>
    <x v="1"/>
    <x v="3"/>
    <s v="2025-10-30"/>
    <x v="3"/>
    <n v="0"/>
    <n v="21"/>
  </r>
  <r>
    <s v="L0970"/>
    <s v="Customer_970"/>
    <x v="5"/>
    <x v="3"/>
    <x v="2"/>
    <s v="2025-06-03"/>
    <x v="4"/>
    <n v="308174"/>
    <n v="9"/>
  </r>
  <r>
    <s v="L0971"/>
    <s v="Customer_971"/>
    <x v="3"/>
    <x v="0"/>
    <x v="4"/>
    <s v="2025-05-02"/>
    <x v="0"/>
    <n v="0"/>
    <n v="26"/>
  </r>
  <r>
    <s v="L0972"/>
    <s v="Customer_972"/>
    <x v="2"/>
    <x v="1"/>
    <x v="1"/>
    <s v="2025-01-07"/>
    <x v="4"/>
    <n v="192224"/>
    <n v="7"/>
  </r>
  <r>
    <s v="L0973"/>
    <s v="Customer_973"/>
    <x v="3"/>
    <x v="1"/>
    <x v="1"/>
    <s v="2026-04-21"/>
    <x v="3"/>
    <n v="0"/>
    <n v="23"/>
  </r>
  <r>
    <s v="L0974"/>
    <s v="Customer_974"/>
    <x v="4"/>
    <x v="0"/>
    <x v="3"/>
    <s v="2025-01-17"/>
    <x v="0"/>
    <n v="0"/>
    <n v="20"/>
  </r>
  <r>
    <s v="L0975"/>
    <s v="Customer_975"/>
    <x v="5"/>
    <x v="2"/>
    <x v="3"/>
    <s v="2025-01-15"/>
    <x v="1"/>
    <n v="0"/>
    <n v="22"/>
  </r>
  <r>
    <s v="L0976"/>
    <s v="Customer_976"/>
    <x v="0"/>
    <x v="1"/>
    <x v="2"/>
    <s v="2025-02-01"/>
    <x v="0"/>
    <n v="0"/>
    <n v="8"/>
  </r>
  <r>
    <s v="L0977"/>
    <s v="Customer_977"/>
    <x v="1"/>
    <x v="1"/>
    <x v="2"/>
    <s v="2025-10-07"/>
    <x v="5"/>
    <n v="0"/>
    <n v="8"/>
  </r>
  <r>
    <s v="L0978"/>
    <s v="Customer_978"/>
    <x v="4"/>
    <x v="0"/>
    <x v="3"/>
    <s v="2025-11-27"/>
    <x v="2"/>
    <n v="0"/>
    <n v="1"/>
  </r>
  <r>
    <s v="L0979"/>
    <s v="Customer_979"/>
    <x v="0"/>
    <x v="1"/>
    <x v="1"/>
    <s v="2025-07-19"/>
    <x v="4"/>
    <n v="363466"/>
    <n v="15"/>
  </r>
  <r>
    <s v="L0980"/>
    <s v="Customer_980"/>
    <x v="5"/>
    <x v="4"/>
    <x v="0"/>
    <s v="2025-01-04"/>
    <x v="5"/>
    <n v="0"/>
    <n v="28"/>
  </r>
  <r>
    <s v="L0981"/>
    <s v="Customer_981"/>
    <x v="2"/>
    <x v="2"/>
    <x v="2"/>
    <s v="2025-07-17"/>
    <x v="4"/>
    <n v="393092"/>
    <n v="2"/>
  </r>
  <r>
    <s v="L0982"/>
    <s v="Customer_982"/>
    <x v="3"/>
    <x v="0"/>
    <x v="1"/>
    <s v="2025-01-28"/>
    <x v="0"/>
    <n v="0"/>
    <n v="20"/>
  </r>
  <r>
    <s v="L0983"/>
    <s v="Customer_983"/>
    <x v="2"/>
    <x v="3"/>
    <x v="1"/>
    <s v="2025-09-19"/>
    <x v="2"/>
    <n v="0"/>
    <n v="14"/>
  </r>
  <r>
    <s v="L0984"/>
    <s v="Customer_984"/>
    <x v="5"/>
    <x v="3"/>
    <x v="0"/>
    <s v="2025-10-19"/>
    <x v="3"/>
    <n v="0"/>
    <n v="29"/>
  </r>
  <r>
    <s v="L0985"/>
    <s v="Customer_985"/>
    <x v="3"/>
    <x v="1"/>
    <x v="3"/>
    <s v="2025-09-03"/>
    <x v="4"/>
    <n v="474335"/>
    <n v="19"/>
  </r>
  <r>
    <s v="L0986"/>
    <s v="Customer_986"/>
    <x v="1"/>
    <x v="2"/>
    <x v="3"/>
    <s v="2026-03-09"/>
    <x v="3"/>
    <n v="0"/>
    <n v="12"/>
  </r>
  <r>
    <s v="L0987"/>
    <s v="Customer_987"/>
    <x v="4"/>
    <x v="0"/>
    <x v="0"/>
    <s v="2025-04-13"/>
    <x v="2"/>
    <n v="0"/>
    <n v="19"/>
  </r>
  <r>
    <s v="L0988"/>
    <s v="Customer_988"/>
    <x v="5"/>
    <x v="4"/>
    <x v="1"/>
    <s v="2026-05-05"/>
    <x v="5"/>
    <n v="0"/>
    <n v="9"/>
  </r>
  <r>
    <s v="L0989"/>
    <s v="Customer_989"/>
    <x v="5"/>
    <x v="1"/>
    <x v="4"/>
    <s v="2026-04-06"/>
    <x v="5"/>
    <n v="0"/>
    <n v="3"/>
  </r>
  <r>
    <s v="L0990"/>
    <s v="Customer_990"/>
    <x v="4"/>
    <x v="3"/>
    <x v="1"/>
    <s v="2026-02-05"/>
    <x v="0"/>
    <n v="0"/>
    <n v="17"/>
  </r>
  <r>
    <s v="L0991"/>
    <s v="Customer_991"/>
    <x v="2"/>
    <x v="2"/>
    <x v="3"/>
    <s v="2026-05-16"/>
    <x v="3"/>
    <n v="0"/>
    <n v="15"/>
  </r>
  <r>
    <s v="L0992"/>
    <s v="Customer_992"/>
    <x v="5"/>
    <x v="2"/>
    <x v="2"/>
    <s v="2025-12-15"/>
    <x v="1"/>
    <n v="0"/>
    <n v="2"/>
  </r>
  <r>
    <s v="L0993"/>
    <s v="Customer_993"/>
    <x v="0"/>
    <x v="3"/>
    <x v="2"/>
    <s v="2026-05-14"/>
    <x v="4"/>
    <n v="202065"/>
    <n v="2"/>
  </r>
  <r>
    <s v="L0994"/>
    <s v="Customer_994"/>
    <x v="0"/>
    <x v="0"/>
    <x v="4"/>
    <s v="2026-03-29"/>
    <x v="0"/>
    <n v="0"/>
    <n v="13"/>
  </r>
  <r>
    <s v="L0995"/>
    <s v="Customer_995"/>
    <x v="1"/>
    <x v="2"/>
    <x v="3"/>
    <s v="2025-12-31"/>
    <x v="3"/>
    <n v="0"/>
    <n v="12"/>
  </r>
  <r>
    <s v="L0996"/>
    <s v="Customer_996"/>
    <x v="1"/>
    <x v="4"/>
    <x v="4"/>
    <s v="2025-12-02"/>
    <x v="0"/>
    <n v="0"/>
    <n v="4"/>
  </r>
  <r>
    <s v="L0997"/>
    <s v="Customer_997"/>
    <x v="2"/>
    <x v="0"/>
    <x v="3"/>
    <s v="2026-05-01"/>
    <x v="0"/>
    <n v="0"/>
    <n v="2"/>
  </r>
  <r>
    <s v="L0998"/>
    <s v="Customer_998"/>
    <x v="4"/>
    <x v="3"/>
    <x v="4"/>
    <s v="2026-02-12"/>
    <x v="0"/>
    <n v="0"/>
    <n v="30"/>
  </r>
  <r>
    <s v="L0999"/>
    <s v="Customer_999"/>
    <x v="4"/>
    <x v="0"/>
    <x v="3"/>
    <s v="2025-02-26"/>
    <x v="1"/>
    <n v="0"/>
    <n v="8"/>
  </r>
  <r>
    <s v="L1000"/>
    <s v="Customer_1000"/>
    <x v="5"/>
    <x v="4"/>
    <x v="2"/>
    <s v="2025-03-29"/>
    <x v="4"/>
    <n v="446454"/>
    <n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FB0001"/>
    <s v="Customer_129"/>
    <x v="0"/>
    <s v="Neutral"/>
    <n v="2"/>
    <n v="3"/>
    <s v="2025-08-31"/>
  </r>
  <r>
    <s v="FB0002"/>
    <s v="Customer_330"/>
    <x v="1"/>
    <s v="Satisfied"/>
    <n v="4"/>
    <n v="5"/>
    <s v="2025-09-09"/>
  </r>
  <r>
    <s v="FB0003"/>
    <s v="Customer_530"/>
    <x v="2"/>
    <s v="Satisfied"/>
    <n v="4"/>
    <n v="4"/>
    <s v="2025-08-31"/>
  </r>
  <r>
    <s v="FB0004"/>
    <s v="Customer_892"/>
    <x v="2"/>
    <s v="Neutral"/>
    <n v="1"/>
    <n v="5"/>
    <s v="2025-07-08"/>
  </r>
  <r>
    <s v="FB0005"/>
    <s v="Customer_35"/>
    <x v="3"/>
    <s v="Neutral"/>
    <n v="7"/>
    <n v="4"/>
    <s v="2025-04-27"/>
  </r>
  <r>
    <s v="FB0006"/>
    <s v="Customer_173"/>
    <x v="3"/>
    <s v="Neutral"/>
    <n v="7"/>
    <n v="4"/>
    <s v="2025-07-12"/>
  </r>
  <r>
    <s v="FB0007"/>
    <s v="Customer_570"/>
    <x v="1"/>
    <s v="Satisfied"/>
    <n v="9"/>
    <n v="4"/>
    <s v="2025-08-20"/>
  </r>
  <r>
    <s v="FB0008"/>
    <s v="Customer_406"/>
    <x v="1"/>
    <s v="Satisfied"/>
    <n v="4"/>
    <n v="1"/>
    <s v="2025-04-16"/>
  </r>
  <r>
    <s v="FB0009"/>
    <s v="Customer_483"/>
    <x v="1"/>
    <s v="Neutral"/>
    <n v="1"/>
    <n v="4"/>
    <s v="2026-02-10"/>
  </r>
  <r>
    <s v="FB0010"/>
    <s v="Customer_213"/>
    <x v="3"/>
    <s v="Dissatisfied"/>
    <n v="2"/>
    <n v="3"/>
    <s v="2025-01-26"/>
  </r>
  <r>
    <s v="FB0011"/>
    <s v="Customer_802"/>
    <x v="4"/>
    <s v="Neutral"/>
    <n v="9"/>
    <n v="5"/>
    <s v="2025-06-11"/>
  </r>
  <r>
    <s v="FB0012"/>
    <s v="Customer_211"/>
    <x v="0"/>
    <s v="Satisfied"/>
    <n v="8"/>
    <n v="2"/>
    <s v="2025-03-20"/>
  </r>
  <r>
    <s v="FB0013"/>
    <s v="Customer_373"/>
    <x v="4"/>
    <s v="Neutral"/>
    <n v="4"/>
    <n v="2"/>
    <s v="2026-04-24"/>
  </r>
  <r>
    <s v="FB0014"/>
    <s v="Customer_772"/>
    <x v="1"/>
    <s v="Dissatisfied"/>
    <n v="7"/>
    <n v="5"/>
    <s v="2025-05-02"/>
  </r>
  <r>
    <s v="FB0015"/>
    <s v="Customer_253"/>
    <x v="3"/>
    <s v="Neutral"/>
    <n v="6"/>
    <n v="2"/>
    <s v="2025-02-09"/>
  </r>
  <r>
    <s v="FB0016"/>
    <s v="Customer_867"/>
    <x v="4"/>
    <s v="Satisfied"/>
    <n v="7"/>
    <n v="4"/>
    <s v="2025-07-22"/>
  </r>
  <r>
    <s v="FB0017"/>
    <s v="Customer_568"/>
    <x v="4"/>
    <s v="Neutral"/>
    <n v="6"/>
    <n v="2"/>
    <s v="2025-11-23"/>
  </r>
  <r>
    <s v="FB0018"/>
    <s v="Customer_514"/>
    <x v="2"/>
    <s v="Dissatisfied"/>
    <n v="5"/>
    <n v="3"/>
    <s v="2026-05-10"/>
  </r>
  <r>
    <s v="FB0019"/>
    <s v="Customer_504"/>
    <x v="4"/>
    <s v="Neutral"/>
    <n v="10"/>
    <n v="1"/>
    <s v="2025-05-03"/>
  </r>
  <r>
    <s v="FB0020"/>
    <s v="Customer_354"/>
    <x v="1"/>
    <s v="Very Satisfied"/>
    <n v="4"/>
    <n v="1"/>
    <s v="2025-02-28"/>
  </r>
  <r>
    <s v="FB0021"/>
    <s v="Customer_891"/>
    <x v="1"/>
    <s v="Very Satisfied"/>
    <n v="4"/>
    <n v="5"/>
    <s v="2026-02-02"/>
  </r>
  <r>
    <s v="FB0022"/>
    <s v="Customer_434"/>
    <x v="0"/>
    <s v="Satisfied"/>
    <n v="9"/>
    <n v="2"/>
    <s v="2025-08-24"/>
  </r>
  <r>
    <s v="FB0023"/>
    <s v="Customer_155"/>
    <x v="3"/>
    <s v="Neutral"/>
    <n v="9"/>
    <n v="5"/>
    <s v="2025-06-26"/>
  </r>
  <r>
    <s v="FB0024"/>
    <s v="Customer_482"/>
    <x v="3"/>
    <s v="Satisfied"/>
    <n v="1"/>
    <n v="2"/>
    <s v="2026-04-13"/>
  </r>
  <r>
    <s v="FB0025"/>
    <s v="Customer_163"/>
    <x v="3"/>
    <s v="Very Satisfied"/>
    <n v="3"/>
    <n v="4"/>
    <s v="2025-05-09"/>
  </r>
  <r>
    <s v="FB0026"/>
    <s v="Customer_132"/>
    <x v="2"/>
    <s v="Satisfied"/>
    <n v="7"/>
    <n v="4"/>
    <s v="2025-07-04"/>
  </r>
  <r>
    <s v="FB0027"/>
    <s v="Customer_98"/>
    <x v="2"/>
    <s v="Satisfied"/>
    <n v="10"/>
    <n v="5"/>
    <s v="2025-02-12"/>
  </r>
  <r>
    <s v="FB0028"/>
    <s v="Customer_296"/>
    <x v="2"/>
    <s v="Dissatisfied"/>
    <n v="2"/>
    <n v="5"/>
    <s v="2025-08-21"/>
  </r>
  <r>
    <s v="FB0029"/>
    <s v="Customer_194"/>
    <x v="3"/>
    <s v="Very Satisfied"/>
    <n v="9"/>
    <n v="1"/>
    <s v="2025-10-09"/>
  </r>
  <r>
    <s v="FB0030"/>
    <s v="Customer_289"/>
    <x v="3"/>
    <s v="Very Satisfied"/>
    <n v="7"/>
    <n v="1"/>
    <s v="2025-04-06"/>
  </r>
  <r>
    <s v="FB0031"/>
    <s v="Customer_278"/>
    <x v="3"/>
    <s v="Dissatisfied"/>
    <n v="5"/>
    <n v="1"/>
    <s v="2025-10-29"/>
  </r>
  <r>
    <s v="FB0032"/>
    <s v="Customer_229"/>
    <x v="1"/>
    <s v="Satisfied"/>
    <n v="9"/>
    <n v="2"/>
    <s v="2025-07-07"/>
  </r>
  <r>
    <s v="FB0033"/>
    <s v="Customer_333"/>
    <x v="3"/>
    <s v="Very Satisfied"/>
    <n v="8"/>
    <n v="3"/>
    <s v="2026-01-10"/>
  </r>
  <r>
    <s v="FB0034"/>
    <s v="Customer_465"/>
    <x v="1"/>
    <s v="Satisfied"/>
    <n v="5"/>
    <n v="5"/>
    <s v="2026-01-26"/>
  </r>
  <r>
    <s v="FB0035"/>
    <s v="Customer_877"/>
    <x v="0"/>
    <s v="Neutral"/>
    <n v="7"/>
    <n v="5"/>
    <s v="2026-02-20"/>
  </r>
  <r>
    <s v="FB0036"/>
    <s v="Customer_305"/>
    <x v="4"/>
    <s v="Neutral"/>
    <n v="10"/>
    <n v="4"/>
    <s v="2025-04-04"/>
  </r>
  <r>
    <s v="FB0037"/>
    <s v="Customer_398"/>
    <x v="4"/>
    <s v="Very Satisfied"/>
    <n v="4"/>
    <n v="4"/>
    <s v="2025-12-27"/>
  </r>
  <r>
    <s v="FB0038"/>
    <s v="Customer_884"/>
    <x v="0"/>
    <s v="Satisfied"/>
    <n v="1"/>
    <n v="5"/>
    <s v="2025-01-14"/>
  </r>
  <r>
    <s v="FB0039"/>
    <s v="Customer_694"/>
    <x v="0"/>
    <s v="Dissatisfied"/>
    <n v="10"/>
    <n v="3"/>
    <s v="2026-02-08"/>
  </r>
  <r>
    <s v="FB0040"/>
    <s v="Customer_675"/>
    <x v="4"/>
    <s v="Very Satisfied"/>
    <n v="7"/>
    <n v="3"/>
    <s v="2025-05-16"/>
  </r>
  <r>
    <s v="FB0041"/>
    <s v="Customer_370"/>
    <x v="2"/>
    <s v="Neutral"/>
    <n v="10"/>
    <n v="5"/>
    <s v="2026-05-14"/>
  </r>
  <r>
    <s v="FB0042"/>
    <s v="Customer_621"/>
    <x v="4"/>
    <s v="Neutral"/>
    <n v="4"/>
    <n v="1"/>
    <s v="2025-02-14"/>
  </r>
  <r>
    <s v="FB0043"/>
    <s v="Customer_303"/>
    <x v="0"/>
    <s v="Dissatisfied"/>
    <n v="1"/>
    <n v="3"/>
    <s v="2026-04-29"/>
  </r>
  <r>
    <s v="FB0044"/>
    <s v="Customer_413"/>
    <x v="4"/>
    <s v="Satisfied"/>
    <n v="2"/>
    <n v="3"/>
    <s v="2025-12-01"/>
  </r>
  <r>
    <s v="FB0045"/>
    <s v="Customer_847"/>
    <x v="4"/>
    <s v="Neutral"/>
    <n v="7"/>
    <n v="2"/>
    <s v="2025-03-23"/>
  </r>
  <r>
    <s v="FB0046"/>
    <s v="Customer_501"/>
    <x v="0"/>
    <s v="Dissatisfied"/>
    <n v="3"/>
    <n v="2"/>
    <s v="2026-03-08"/>
  </r>
  <r>
    <s v="FB0047"/>
    <s v="Customer_181"/>
    <x v="3"/>
    <s v="Satisfied"/>
    <n v="2"/>
    <n v="4"/>
    <s v="2025-12-28"/>
  </r>
  <r>
    <s v="FB0048"/>
    <s v="Customer_980"/>
    <x v="4"/>
    <s v="Satisfied"/>
    <n v="3"/>
    <n v="4"/>
    <s v="2025-03-22"/>
  </r>
  <r>
    <s v="FB0049"/>
    <s v="Customer_975"/>
    <x v="4"/>
    <s v="Neutral"/>
    <n v="9"/>
    <n v="2"/>
    <s v="2025-08-30"/>
  </r>
  <r>
    <s v="FB0050"/>
    <s v="Customer_119"/>
    <x v="3"/>
    <s v="Satisfied"/>
    <n v="6"/>
    <n v="4"/>
    <s v="2025-07-06"/>
  </r>
  <r>
    <s v="FB0051"/>
    <s v="Customer_773"/>
    <x v="4"/>
    <s v="Neutral"/>
    <n v="7"/>
    <n v="2"/>
    <s v="2025-04-10"/>
  </r>
  <r>
    <s v="FB0052"/>
    <s v="Customer_893"/>
    <x v="0"/>
    <s v="Satisfied"/>
    <n v="5"/>
    <n v="2"/>
    <s v="2025-08-01"/>
  </r>
  <r>
    <s v="FB0053"/>
    <s v="Customer_106"/>
    <x v="3"/>
    <s v="Dissatisfied"/>
    <n v="10"/>
    <n v="4"/>
    <s v="2026-05-15"/>
  </r>
  <r>
    <s v="FB0054"/>
    <s v="Customer_971"/>
    <x v="0"/>
    <s v="Satisfied"/>
    <n v="5"/>
    <n v="4"/>
    <s v="2025-05-09"/>
  </r>
  <r>
    <s v="FB0055"/>
    <s v="Customer_253"/>
    <x v="0"/>
    <s v="Satisfied"/>
    <n v="6"/>
    <n v="4"/>
    <s v="2025-12-09"/>
  </r>
  <r>
    <s v="FB0056"/>
    <s v="Customer_448"/>
    <x v="2"/>
    <s v="Dissatisfied"/>
    <n v="4"/>
    <n v="1"/>
    <s v="2025-09-26"/>
  </r>
  <r>
    <s v="FB0057"/>
    <s v="Customer_775"/>
    <x v="1"/>
    <s v="Satisfied"/>
    <n v="4"/>
    <n v="2"/>
    <s v="2025-07-22"/>
  </r>
  <r>
    <s v="FB0058"/>
    <s v="Customer_197"/>
    <x v="2"/>
    <s v="Satisfied"/>
    <n v="1"/>
    <n v="5"/>
    <s v="2025-06-25"/>
  </r>
  <r>
    <s v="FB0059"/>
    <s v="Customer_544"/>
    <x v="2"/>
    <s v="Dissatisfied"/>
    <n v="5"/>
    <n v="3"/>
    <s v="2026-03-13"/>
  </r>
  <r>
    <s v="FB0060"/>
    <s v="Customer_27"/>
    <x v="2"/>
    <s v="Very Satisfied"/>
    <n v="3"/>
    <n v="1"/>
    <s v="2026-01-11"/>
  </r>
  <r>
    <s v="FB0061"/>
    <s v="Customer_122"/>
    <x v="2"/>
    <s v="Dissatisfied"/>
    <n v="4"/>
    <n v="2"/>
    <s v="2025-03-22"/>
  </r>
  <r>
    <s v="FB0062"/>
    <s v="Customer_114"/>
    <x v="2"/>
    <s v="Dissatisfied"/>
    <n v="4"/>
    <n v="4"/>
    <s v="2026-04-28"/>
  </r>
  <r>
    <s v="FB0063"/>
    <s v="Customer_51"/>
    <x v="0"/>
    <s v="Very Satisfied"/>
    <n v="6"/>
    <n v="2"/>
    <s v="2026-01-30"/>
  </r>
  <r>
    <s v="FB0064"/>
    <s v="Customer_130"/>
    <x v="3"/>
    <s v="Neutral"/>
    <n v="5"/>
    <n v="2"/>
    <s v="2025-07-03"/>
  </r>
  <r>
    <s v="FB0065"/>
    <s v="Customer_486"/>
    <x v="3"/>
    <s v="Very Satisfied"/>
    <n v="3"/>
    <n v="5"/>
    <s v="2026-03-18"/>
  </r>
  <r>
    <s v="FB0066"/>
    <s v="Customer_460"/>
    <x v="2"/>
    <s v="Very Satisfied"/>
    <n v="8"/>
    <n v="4"/>
    <s v="2025-04-09"/>
  </r>
  <r>
    <s v="FB0067"/>
    <s v="Customer_768"/>
    <x v="4"/>
    <s v="Very Satisfied"/>
    <n v="4"/>
    <n v="1"/>
    <s v="2026-02-03"/>
  </r>
  <r>
    <s v="FB0068"/>
    <s v="Customer_475"/>
    <x v="1"/>
    <s v="Dissatisfied"/>
    <n v="4"/>
    <n v="2"/>
    <s v="2025-02-17"/>
  </r>
  <r>
    <s v="FB0069"/>
    <s v="Customer_603"/>
    <x v="4"/>
    <s v="Satisfied"/>
    <n v="7"/>
    <n v="4"/>
    <s v="2025-04-05"/>
  </r>
  <r>
    <s v="FB0070"/>
    <s v="Customer_871"/>
    <x v="1"/>
    <s v="Dissatisfied"/>
    <n v="8"/>
    <n v="1"/>
    <s v="2026-01-16"/>
  </r>
  <r>
    <s v="FB0071"/>
    <s v="Customer_157"/>
    <x v="1"/>
    <s v="Very Satisfied"/>
    <n v="10"/>
    <n v="4"/>
    <s v="2025-12-02"/>
  </r>
  <r>
    <s v="FB0072"/>
    <s v="Customer_389"/>
    <x v="2"/>
    <s v="Dissatisfied"/>
    <n v="3"/>
    <n v="5"/>
    <s v="2025-02-08"/>
  </r>
  <r>
    <s v="FB0073"/>
    <s v="Customer_754"/>
    <x v="4"/>
    <s v="Neutral"/>
    <n v="10"/>
    <n v="1"/>
    <s v="2025-04-30"/>
  </r>
  <r>
    <s v="FB0074"/>
    <s v="Customer_138"/>
    <x v="2"/>
    <s v="Dissatisfied"/>
    <n v="1"/>
    <n v="1"/>
    <s v="2025-01-22"/>
  </r>
  <r>
    <s v="FB0075"/>
    <s v="Customer_632"/>
    <x v="1"/>
    <s v="Dissatisfied"/>
    <n v="2"/>
    <n v="1"/>
    <s v="2025-05-20"/>
  </r>
  <r>
    <s v="FB0076"/>
    <s v="Customer_569"/>
    <x v="4"/>
    <s v="Dissatisfied"/>
    <n v="10"/>
    <n v="5"/>
    <s v="2026-04-21"/>
  </r>
  <r>
    <s v="FB0077"/>
    <s v="Customer_700"/>
    <x v="0"/>
    <s v="Neutral"/>
    <n v="7"/>
    <n v="4"/>
    <s v="2025-08-23"/>
  </r>
  <r>
    <s v="FB0078"/>
    <s v="Customer_51"/>
    <x v="0"/>
    <s v="Dissatisfied"/>
    <n v="4"/>
    <n v="4"/>
    <s v="2025-06-18"/>
  </r>
  <r>
    <s v="FB0079"/>
    <s v="Customer_394"/>
    <x v="0"/>
    <s v="Very Satisfied"/>
    <n v="5"/>
    <n v="1"/>
    <s v="2025-01-14"/>
  </r>
  <r>
    <s v="FB0080"/>
    <s v="Customer_425"/>
    <x v="4"/>
    <s v="Very Satisfied"/>
    <n v="5"/>
    <n v="3"/>
    <s v="2025-07-23"/>
  </r>
  <r>
    <s v="FB0081"/>
    <s v="Customer_947"/>
    <x v="0"/>
    <s v="Dissatisfied"/>
    <n v="10"/>
    <n v="5"/>
    <s v="2026-01-19"/>
  </r>
  <r>
    <s v="FB0082"/>
    <s v="Customer_488"/>
    <x v="0"/>
    <s v="Dissatisfied"/>
    <n v="5"/>
    <n v="4"/>
    <s v="2025-06-24"/>
  </r>
  <r>
    <s v="FB0083"/>
    <s v="Customer_648"/>
    <x v="3"/>
    <s v="Neutral"/>
    <n v="8"/>
    <n v="2"/>
    <s v="2025-10-07"/>
  </r>
  <r>
    <s v="FB0084"/>
    <s v="Customer_594"/>
    <x v="1"/>
    <s v="Very Satisfied"/>
    <n v="8"/>
    <n v="2"/>
    <s v="2025-12-03"/>
  </r>
  <r>
    <s v="FB0085"/>
    <s v="Customer_932"/>
    <x v="1"/>
    <s v="Dissatisfied"/>
    <n v="3"/>
    <n v="5"/>
    <s v="2026-03-24"/>
  </r>
  <r>
    <s v="FB0086"/>
    <s v="Customer_531"/>
    <x v="2"/>
    <s v="Very Satisfied"/>
    <n v="4"/>
    <n v="3"/>
    <s v="2026-02-28"/>
  </r>
  <r>
    <s v="FB0087"/>
    <s v="Customer_104"/>
    <x v="0"/>
    <s v="Satisfied"/>
    <n v="10"/>
    <n v="1"/>
    <s v="2026-03-07"/>
  </r>
  <r>
    <s v="FB0088"/>
    <s v="Customer_85"/>
    <x v="1"/>
    <s v="Satisfied"/>
    <n v="1"/>
    <n v="3"/>
    <s v="2025-01-23"/>
  </r>
  <r>
    <s v="FB0089"/>
    <s v="Customer_284"/>
    <x v="2"/>
    <s v="Very Satisfied"/>
    <n v="5"/>
    <n v="1"/>
    <s v="2025-10-19"/>
  </r>
  <r>
    <s v="FB0090"/>
    <s v="Customer_217"/>
    <x v="4"/>
    <s v="Satisfied"/>
    <n v="10"/>
    <n v="5"/>
    <s v="2026-02-25"/>
  </r>
  <r>
    <s v="FB0091"/>
    <s v="Customer_197"/>
    <x v="2"/>
    <s v="Very Satisfied"/>
    <n v="3"/>
    <n v="3"/>
    <s v="2025-08-05"/>
  </r>
  <r>
    <s v="FB0092"/>
    <s v="Customer_26"/>
    <x v="0"/>
    <s v="Neutral"/>
    <n v="1"/>
    <n v="2"/>
    <s v="2026-04-16"/>
  </r>
  <r>
    <s v="FB0093"/>
    <s v="Customer_825"/>
    <x v="0"/>
    <s v="Satisfied"/>
    <n v="7"/>
    <n v="5"/>
    <s v="2025-08-06"/>
  </r>
  <r>
    <s v="FB0094"/>
    <s v="Customer_934"/>
    <x v="4"/>
    <s v="Satisfied"/>
    <n v="5"/>
    <n v="5"/>
    <s v="2025-06-22"/>
  </r>
  <r>
    <s v="FB0095"/>
    <s v="Customer_448"/>
    <x v="1"/>
    <s v="Very Satisfied"/>
    <n v="10"/>
    <n v="5"/>
    <s v="2026-01-07"/>
  </r>
  <r>
    <s v="FB0096"/>
    <s v="Customer_955"/>
    <x v="1"/>
    <s v="Very Satisfied"/>
    <n v="9"/>
    <n v="3"/>
    <s v="2025-09-23"/>
  </r>
  <r>
    <s v="FB0097"/>
    <s v="Customer_629"/>
    <x v="2"/>
    <s v="Very Satisfied"/>
    <n v="1"/>
    <n v="2"/>
    <s v="2025-07-23"/>
  </r>
  <r>
    <s v="FB0098"/>
    <s v="Customer_455"/>
    <x v="2"/>
    <s v="Very Satisfied"/>
    <n v="9"/>
    <n v="3"/>
    <s v="2025-08-07"/>
  </r>
  <r>
    <s v="FB0099"/>
    <s v="Customer_724"/>
    <x v="1"/>
    <s v="Satisfied"/>
    <n v="2"/>
    <n v="1"/>
    <s v="2025-05-24"/>
  </r>
  <r>
    <s v="FB0100"/>
    <s v="Customer_140"/>
    <x v="3"/>
    <s v="Very Satisfied"/>
    <n v="9"/>
    <n v="2"/>
    <s v="2025-04-11"/>
  </r>
  <r>
    <s v="FB0101"/>
    <s v="Customer_6"/>
    <x v="0"/>
    <s v="Satisfied"/>
    <n v="6"/>
    <n v="3"/>
    <s v="2025-12-13"/>
  </r>
  <r>
    <s v="FB0102"/>
    <s v="Customer_77"/>
    <x v="0"/>
    <s v="Neutral"/>
    <n v="2"/>
    <n v="1"/>
    <s v="2025-01-21"/>
  </r>
  <r>
    <s v="FB0103"/>
    <s v="Customer_196"/>
    <x v="0"/>
    <s v="Neutral"/>
    <n v="1"/>
    <n v="4"/>
    <s v="2025-01-23"/>
  </r>
  <r>
    <s v="FB0104"/>
    <s v="Customer_606"/>
    <x v="1"/>
    <s v="Dissatisfied"/>
    <n v="2"/>
    <n v="1"/>
    <s v="2025-12-01"/>
  </r>
  <r>
    <s v="FB0105"/>
    <s v="Customer_734"/>
    <x v="1"/>
    <s v="Very Satisfied"/>
    <n v="7"/>
    <n v="5"/>
    <s v="2025-11-11"/>
  </r>
  <r>
    <s v="FB0106"/>
    <s v="Customer_766"/>
    <x v="3"/>
    <s v="Dissatisfied"/>
    <n v="5"/>
    <n v="5"/>
    <s v="2026-05-08"/>
  </r>
  <r>
    <s v="FB0107"/>
    <s v="Customer_857"/>
    <x v="3"/>
    <s v="Dissatisfied"/>
    <n v="9"/>
    <n v="3"/>
    <s v="2026-04-16"/>
  </r>
  <r>
    <s v="FB0108"/>
    <s v="Customer_689"/>
    <x v="2"/>
    <s v="Satisfied"/>
    <n v="7"/>
    <n v="2"/>
    <s v="2026-01-20"/>
  </r>
  <r>
    <s v="FB0109"/>
    <s v="Customer_990"/>
    <x v="2"/>
    <s v="Satisfied"/>
    <n v="9"/>
    <n v="2"/>
    <s v="2025-01-02"/>
  </r>
  <r>
    <s v="FB0110"/>
    <s v="Customer_759"/>
    <x v="2"/>
    <s v="Very Satisfied"/>
    <n v="6"/>
    <n v="4"/>
    <s v="2026-01-25"/>
  </r>
  <r>
    <s v="FB0111"/>
    <s v="Customer_309"/>
    <x v="4"/>
    <s v="Very Satisfied"/>
    <n v="7"/>
    <n v="2"/>
    <s v="2025-08-02"/>
  </r>
  <r>
    <s v="FB0112"/>
    <s v="Customer_231"/>
    <x v="0"/>
    <s v="Satisfied"/>
    <n v="3"/>
    <n v="2"/>
    <s v="2025-01-15"/>
  </r>
  <r>
    <s v="FB0113"/>
    <s v="Customer_60"/>
    <x v="2"/>
    <s v="Satisfied"/>
    <n v="7"/>
    <n v="2"/>
    <s v="2026-02-20"/>
  </r>
  <r>
    <s v="FB0114"/>
    <s v="Customer_444"/>
    <x v="2"/>
    <s v="Neutral"/>
    <n v="1"/>
    <n v="4"/>
    <s v="2025-08-31"/>
  </r>
  <r>
    <s v="FB0115"/>
    <s v="Customer_777"/>
    <x v="2"/>
    <s v="Neutral"/>
    <n v="5"/>
    <n v="1"/>
    <s v="2025-05-29"/>
  </r>
  <r>
    <s v="FB0116"/>
    <s v="Customer_537"/>
    <x v="3"/>
    <s v="Very Satisfied"/>
    <n v="10"/>
    <n v="2"/>
    <s v="2025-02-11"/>
  </r>
  <r>
    <s v="FB0117"/>
    <s v="Customer_141"/>
    <x v="2"/>
    <s v="Satisfied"/>
    <n v="2"/>
    <n v="2"/>
    <s v="2025-02-14"/>
  </r>
  <r>
    <s v="FB0118"/>
    <s v="Customer_313"/>
    <x v="1"/>
    <s v="Dissatisfied"/>
    <n v="7"/>
    <n v="2"/>
    <s v="2026-03-01"/>
  </r>
  <r>
    <s v="FB0119"/>
    <s v="Customer_950"/>
    <x v="2"/>
    <s v="Dissatisfied"/>
    <n v="9"/>
    <n v="2"/>
    <s v="2025-02-26"/>
  </r>
  <r>
    <s v="FB0120"/>
    <s v="Customer_554"/>
    <x v="1"/>
    <s v="Dissatisfied"/>
    <n v="4"/>
    <n v="4"/>
    <s v="2025-11-07"/>
  </r>
  <r>
    <s v="FB0121"/>
    <s v="Customer_783"/>
    <x v="4"/>
    <s v="Neutral"/>
    <n v="6"/>
    <n v="3"/>
    <s v="2025-10-02"/>
  </r>
  <r>
    <s v="FB0122"/>
    <s v="Customer_757"/>
    <x v="4"/>
    <s v="Very Satisfied"/>
    <n v="6"/>
    <n v="1"/>
    <s v="2026-01-18"/>
  </r>
  <r>
    <s v="FB0123"/>
    <s v="Customer_863"/>
    <x v="4"/>
    <s v="Satisfied"/>
    <n v="4"/>
    <n v="4"/>
    <s v="2025-06-12"/>
  </r>
  <r>
    <s v="FB0124"/>
    <s v="Customer_306"/>
    <x v="0"/>
    <s v="Neutral"/>
    <n v="4"/>
    <n v="1"/>
    <s v="2025-08-13"/>
  </r>
  <r>
    <s v="FB0125"/>
    <s v="Customer_661"/>
    <x v="2"/>
    <s v="Dissatisfied"/>
    <n v="4"/>
    <n v="1"/>
    <s v="2025-07-10"/>
  </r>
  <r>
    <s v="FB0126"/>
    <s v="Customer_19"/>
    <x v="1"/>
    <s v="Neutral"/>
    <n v="9"/>
    <n v="2"/>
    <s v="2025-01-10"/>
  </r>
  <r>
    <s v="FB0127"/>
    <s v="Customer_987"/>
    <x v="2"/>
    <s v="Neutral"/>
    <n v="6"/>
    <n v="2"/>
    <s v="2025-06-08"/>
  </r>
  <r>
    <s v="FB0128"/>
    <s v="Customer_842"/>
    <x v="0"/>
    <s v="Neutral"/>
    <n v="4"/>
    <n v="1"/>
    <s v="2025-07-17"/>
  </r>
  <r>
    <s v="FB0129"/>
    <s v="Customer_594"/>
    <x v="3"/>
    <s v="Neutral"/>
    <n v="6"/>
    <n v="5"/>
    <s v="2025-02-05"/>
  </r>
  <r>
    <s v="FB0130"/>
    <s v="Customer_412"/>
    <x v="2"/>
    <s v="Neutral"/>
    <n v="3"/>
    <n v="5"/>
    <s v="2026-02-10"/>
  </r>
  <r>
    <s v="FB0131"/>
    <s v="Customer_793"/>
    <x v="2"/>
    <s v="Satisfied"/>
    <n v="3"/>
    <n v="3"/>
    <s v="2025-08-06"/>
  </r>
  <r>
    <s v="FB0132"/>
    <s v="Customer_43"/>
    <x v="4"/>
    <s v="Dissatisfied"/>
    <n v="10"/>
    <n v="4"/>
    <s v="2025-07-28"/>
  </r>
  <r>
    <s v="FB0133"/>
    <s v="Customer_920"/>
    <x v="4"/>
    <s v="Neutral"/>
    <n v="10"/>
    <n v="4"/>
    <s v="2025-05-24"/>
  </r>
  <r>
    <s v="FB0134"/>
    <s v="Customer_845"/>
    <x v="0"/>
    <s v="Neutral"/>
    <n v="5"/>
    <n v="4"/>
    <s v="2025-04-18"/>
  </r>
  <r>
    <s v="FB0135"/>
    <s v="Customer_303"/>
    <x v="3"/>
    <s v="Very Satisfied"/>
    <n v="4"/>
    <n v="4"/>
    <s v="2025-10-31"/>
  </r>
  <r>
    <s v="FB0136"/>
    <s v="Customer_411"/>
    <x v="3"/>
    <s v="Dissatisfied"/>
    <n v="9"/>
    <n v="4"/>
    <s v="2025-10-27"/>
  </r>
  <r>
    <s v="FB0137"/>
    <s v="Customer_196"/>
    <x v="2"/>
    <s v="Very Satisfied"/>
    <n v="3"/>
    <n v="3"/>
    <s v="2025-08-05"/>
  </r>
  <r>
    <s v="FB0138"/>
    <s v="Customer_682"/>
    <x v="3"/>
    <s v="Satisfied"/>
    <n v="4"/>
    <n v="3"/>
    <s v="2025-10-12"/>
  </r>
  <r>
    <s v="FB0139"/>
    <s v="Customer_46"/>
    <x v="2"/>
    <s v="Dissatisfied"/>
    <n v="3"/>
    <n v="2"/>
    <s v="2025-05-19"/>
  </r>
  <r>
    <s v="FB0140"/>
    <s v="Customer_46"/>
    <x v="1"/>
    <s v="Dissatisfied"/>
    <n v="1"/>
    <n v="5"/>
    <s v="2025-01-24"/>
  </r>
  <r>
    <s v="FB0141"/>
    <s v="Customer_681"/>
    <x v="1"/>
    <s v="Neutral"/>
    <n v="3"/>
    <n v="4"/>
    <s v="2025-10-29"/>
  </r>
  <r>
    <s v="FB0142"/>
    <s v="Customer_200"/>
    <x v="2"/>
    <s v="Very Satisfied"/>
    <n v="3"/>
    <n v="5"/>
    <s v="2026-05-10"/>
  </r>
  <r>
    <s v="FB0143"/>
    <s v="Customer_815"/>
    <x v="3"/>
    <s v="Very Satisfied"/>
    <n v="10"/>
    <n v="1"/>
    <s v="2026-04-12"/>
  </r>
  <r>
    <s v="FB0144"/>
    <s v="Customer_760"/>
    <x v="2"/>
    <s v="Dissatisfied"/>
    <n v="7"/>
    <n v="5"/>
    <s v="2026-01-05"/>
  </r>
  <r>
    <s v="FB0145"/>
    <s v="Customer_267"/>
    <x v="4"/>
    <s v="Dissatisfied"/>
    <n v="8"/>
    <n v="1"/>
    <s v="2025-10-13"/>
  </r>
  <r>
    <s v="FB0146"/>
    <s v="Customer_294"/>
    <x v="0"/>
    <s v="Dissatisfied"/>
    <n v="3"/>
    <n v="3"/>
    <s v="2025-09-01"/>
  </r>
  <r>
    <s v="FB0147"/>
    <s v="Customer_452"/>
    <x v="1"/>
    <s v="Satisfied"/>
    <n v="8"/>
    <n v="2"/>
    <s v="2025-04-20"/>
  </r>
  <r>
    <s v="FB0148"/>
    <s v="Customer_235"/>
    <x v="0"/>
    <s v="Satisfied"/>
    <n v="8"/>
    <n v="2"/>
    <s v="2025-06-06"/>
  </r>
  <r>
    <s v="FB0149"/>
    <s v="Customer_829"/>
    <x v="4"/>
    <s v="Very Satisfied"/>
    <n v="4"/>
    <n v="4"/>
    <s v="2025-06-10"/>
  </r>
  <r>
    <s v="FB0150"/>
    <s v="Customer_589"/>
    <x v="3"/>
    <s v="Satisfied"/>
    <n v="4"/>
    <n v="5"/>
    <s v="2025-08-18"/>
  </r>
  <r>
    <s v="FB0151"/>
    <s v="Customer_911"/>
    <x v="1"/>
    <s v="Neutral"/>
    <n v="9"/>
    <n v="2"/>
    <s v="2026-03-08"/>
  </r>
  <r>
    <s v="FB0152"/>
    <s v="Customer_298"/>
    <x v="2"/>
    <s v="Satisfied"/>
    <n v="1"/>
    <n v="1"/>
    <s v="2025-01-07"/>
  </r>
  <r>
    <s v="FB0153"/>
    <s v="Customer_180"/>
    <x v="0"/>
    <s v="Very Satisfied"/>
    <n v="4"/>
    <n v="5"/>
    <s v="2025-06-04"/>
  </r>
  <r>
    <s v="FB0154"/>
    <s v="Customer_957"/>
    <x v="2"/>
    <s v="Very Satisfied"/>
    <n v="2"/>
    <n v="2"/>
    <s v="2026-04-06"/>
  </r>
  <r>
    <s v="FB0155"/>
    <s v="Customer_208"/>
    <x v="2"/>
    <s v="Neutral"/>
    <n v="5"/>
    <n v="4"/>
    <s v="2026-01-25"/>
  </r>
  <r>
    <s v="FB0156"/>
    <s v="Customer_917"/>
    <x v="4"/>
    <s v="Neutral"/>
    <n v="2"/>
    <n v="1"/>
    <s v="2025-07-17"/>
  </r>
  <r>
    <s v="FB0157"/>
    <s v="Customer_819"/>
    <x v="2"/>
    <s v="Very Satisfied"/>
    <n v="1"/>
    <n v="2"/>
    <s v="2025-05-15"/>
  </r>
  <r>
    <s v="FB0158"/>
    <s v="Customer_942"/>
    <x v="1"/>
    <s v="Very Satisfied"/>
    <n v="10"/>
    <n v="3"/>
    <s v="2026-03-11"/>
  </r>
  <r>
    <s v="FB0159"/>
    <s v="Customer_109"/>
    <x v="3"/>
    <s v="Dissatisfied"/>
    <n v="8"/>
    <n v="3"/>
    <s v="2026-02-17"/>
  </r>
  <r>
    <s v="FB0160"/>
    <s v="Customer_941"/>
    <x v="4"/>
    <s v="Neutral"/>
    <n v="4"/>
    <n v="3"/>
    <s v="2026-05-16"/>
  </r>
  <r>
    <s v="FB0161"/>
    <s v="Customer_406"/>
    <x v="3"/>
    <s v="Very Satisfied"/>
    <n v="10"/>
    <n v="3"/>
    <s v="2025-10-03"/>
  </r>
  <r>
    <s v="FB0162"/>
    <s v="Customer_459"/>
    <x v="0"/>
    <s v="Neutral"/>
    <n v="9"/>
    <n v="5"/>
    <s v="2025-06-28"/>
  </r>
  <r>
    <s v="FB0163"/>
    <s v="Customer_576"/>
    <x v="4"/>
    <s v="Very Satisfied"/>
    <n v="1"/>
    <n v="1"/>
    <s v="2025-11-12"/>
  </r>
  <r>
    <s v="FB0164"/>
    <s v="Customer_170"/>
    <x v="4"/>
    <s v="Neutral"/>
    <n v="2"/>
    <n v="2"/>
    <s v="2025-04-07"/>
  </r>
  <r>
    <s v="FB0165"/>
    <s v="Customer_860"/>
    <x v="2"/>
    <s v="Satisfied"/>
    <n v="4"/>
    <n v="1"/>
    <s v="2025-11-02"/>
  </r>
  <r>
    <s v="FB0166"/>
    <s v="Customer_702"/>
    <x v="3"/>
    <s v="Satisfied"/>
    <n v="3"/>
    <n v="3"/>
    <s v="2025-01-16"/>
  </r>
  <r>
    <s v="FB0167"/>
    <s v="Customer_817"/>
    <x v="1"/>
    <s v="Dissatisfied"/>
    <n v="9"/>
    <n v="2"/>
    <s v="2026-01-14"/>
  </r>
  <r>
    <s v="FB0168"/>
    <s v="Customer_175"/>
    <x v="3"/>
    <s v="Dissatisfied"/>
    <n v="7"/>
    <n v="5"/>
    <s v="2025-09-17"/>
  </r>
  <r>
    <s v="FB0169"/>
    <s v="Customer_504"/>
    <x v="0"/>
    <s v="Very Satisfied"/>
    <n v="9"/>
    <n v="1"/>
    <s v="2026-01-11"/>
  </r>
  <r>
    <s v="FB0170"/>
    <s v="Customer_236"/>
    <x v="0"/>
    <s v="Satisfied"/>
    <n v="3"/>
    <n v="3"/>
    <s v="2025-09-28"/>
  </r>
  <r>
    <s v="FB0171"/>
    <s v="Customer_786"/>
    <x v="1"/>
    <s v="Dissatisfied"/>
    <n v="4"/>
    <n v="1"/>
    <s v="2026-02-13"/>
  </r>
  <r>
    <s v="FB0172"/>
    <s v="Customer_545"/>
    <x v="4"/>
    <s v="Dissatisfied"/>
    <n v="6"/>
    <n v="1"/>
    <s v="2025-12-13"/>
  </r>
  <r>
    <s v="FB0173"/>
    <s v="Customer_363"/>
    <x v="3"/>
    <s v="Dissatisfied"/>
    <n v="5"/>
    <n v="4"/>
    <s v="2025-04-25"/>
  </r>
  <r>
    <s v="FB0174"/>
    <s v="Customer_607"/>
    <x v="2"/>
    <s v="Satisfied"/>
    <n v="2"/>
    <n v="1"/>
    <s v="2025-09-06"/>
  </r>
  <r>
    <s v="FB0175"/>
    <s v="Customer_95"/>
    <x v="4"/>
    <s v="Dissatisfied"/>
    <n v="1"/>
    <n v="4"/>
    <s v="2026-03-17"/>
  </r>
  <r>
    <s v="FB0176"/>
    <s v="Customer_293"/>
    <x v="3"/>
    <s v="Dissatisfied"/>
    <n v="8"/>
    <n v="2"/>
    <s v="2026-02-19"/>
  </r>
  <r>
    <s v="FB0177"/>
    <s v="Customer_310"/>
    <x v="0"/>
    <s v="Neutral"/>
    <n v="4"/>
    <n v="3"/>
    <s v="2026-03-12"/>
  </r>
  <r>
    <s v="FB0178"/>
    <s v="Customer_170"/>
    <x v="2"/>
    <s v="Satisfied"/>
    <n v="2"/>
    <n v="4"/>
    <s v="2025-12-24"/>
  </r>
  <r>
    <s v="FB0179"/>
    <s v="Customer_564"/>
    <x v="1"/>
    <s v="Satisfied"/>
    <n v="1"/>
    <n v="3"/>
    <s v="2025-01-21"/>
  </r>
  <r>
    <s v="FB0180"/>
    <s v="Customer_205"/>
    <x v="2"/>
    <s v="Neutral"/>
    <n v="4"/>
    <n v="2"/>
    <s v="2026-02-11"/>
  </r>
  <r>
    <s v="FB0181"/>
    <s v="Customer_511"/>
    <x v="0"/>
    <s v="Satisfied"/>
    <n v="5"/>
    <n v="4"/>
    <s v="2026-02-05"/>
  </r>
  <r>
    <s v="FB0182"/>
    <s v="Customer_586"/>
    <x v="4"/>
    <s v="Neutral"/>
    <n v="1"/>
    <n v="4"/>
    <s v="2025-12-20"/>
  </r>
  <r>
    <s v="FB0183"/>
    <s v="Customer_59"/>
    <x v="3"/>
    <s v="Neutral"/>
    <n v="1"/>
    <n v="3"/>
    <s v="2025-02-04"/>
  </r>
  <r>
    <s v="FB0184"/>
    <s v="Customer_608"/>
    <x v="4"/>
    <s v="Neutral"/>
    <n v="1"/>
    <n v="2"/>
    <s v="2025-12-27"/>
  </r>
  <r>
    <s v="FB0185"/>
    <s v="Customer_225"/>
    <x v="1"/>
    <s v="Dissatisfied"/>
    <n v="8"/>
    <n v="1"/>
    <s v="2026-04-10"/>
  </r>
  <r>
    <s v="FB0186"/>
    <s v="Customer_122"/>
    <x v="0"/>
    <s v="Satisfied"/>
    <n v="8"/>
    <n v="2"/>
    <s v="2025-01-30"/>
  </r>
  <r>
    <s v="FB0187"/>
    <s v="Customer_63"/>
    <x v="4"/>
    <s v="Neutral"/>
    <n v="10"/>
    <n v="1"/>
    <s v="2026-04-23"/>
  </r>
  <r>
    <s v="FB0188"/>
    <s v="Customer_681"/>
    <x v="4"/>
    <s v="Dissatisfied"/>
    <n v="6"/>
    <n v="1"/>
    <s v="2026-01-28"/>
  </r>
  <r>
    <s v="FB0189"/>
    <s v="Customer_607"/>
    <x v="0"/>
    <s v="Dissatisfied"/>
    <n v="10"/>
    <n v="1"/>
    <s v="2025-01-26"/>
  </r>
  <r>
    <s v="FB0190"/>
    <s v="Customer_505"/>
    <x v="4"/>
    <s v="Satisfied"/>
    <n v="4"/>
    <n v="1"/>
    <s v="2025-12-02"/>
  </r>
  <r>
    <s v="FB0191"/>
    <s v="Customer_548"/>
    <x v="4"/>
    <s v="Satisfied"/>
    <n v="7"/>
    <n v="1"/>
    <s v="2025-07-20"/>
  </r>
  <r>
    <s v="FB0192"/>
    <s v="Customer_863"/>
    <x v="1"/>
    <s v="Satisfied"/>
    <n v="9"/>
    <n v="1"/>
    <s v="2025-02-12"/>
  </r>
  <r>
    <s v="FB0193"/>
    <s v="Customer_947"/>
    <x v="4"/>
    <s v="Very Satisfied"/>
    <n v="2"/>
    <n v="3"/>
    <s v="2025-11-22"/>
  </r>
  <r>
    <s v="FB0194"/>
    <s v="Customer_435"/>
    <x v="1"/>
    <s v="Neutral"/>
    <n v="4"/>
    <n v="5"/>
    <s v="2026-01-18"/>
  </r>
  <r>
    <s v="FB0195"/>
    <s v="Customer_571"/>
    <x v="0"/>
    <s v="Neutral"/>
    <n v="8"/>
    <n v="5"/>
    <s v="2025-04-07"/>
  </r>
  <r>
    <s v="FB0196"/>
    <s v="Customer_4"/>
    <x v="0"/>
    <s v="Very Satisfied"/>
    <n v="3"/>
    <n v="1"/>
    <s v="2025-08-17"/>
  </r>
  <r>
    <s v="FB0197"/>
    <s v="Customer_506"/>
    <x v="0"/>
    <s v="Dissatisfied"/>
    <n v="8"/>
    <n v="1"/>
    <s v="2026-01-15"/>
  </r>
  <r>
    <s v="FB0198"/>
    <s v="Customer_574"/>
    <x v="3"/>
    <s v="Very Satisfied"/>
    <n v="4"/>
    <n v="4"/>
    <s v="2025-07-25"/>
  </r>
  <r>
    <s v="FB0199"/>
    <s v="Customer_353"/>
    <x v="1"/>
    <s v="Very Satisfied"/>
    <n v="10"/>
    <n v="4"/>
    <s v="2025-10-30"/>
  </r>
  <r>
    <s v="FB0200"/>
    <s v="Customer_496"/>
    <x v="3"/>
    <s v="Satisfied"/>
    <n v="7"/>
    <n v="4"/>
    <s v="2025-12-27"/>
  </r>
  <r>
    <s v="FB0201"/>
    <s v="Customer_522"/>
    <x v="2"/>
    <s v="Neutral"/>
    <n v="3"/>
    <n v="4"/>
    <s v="2025-10-12"/>
  </r>
  <r>
    <s v="FB0202"/>
    <s v="Customer_375"/>
    <x v="0"/>
    <s v="Neutral"/>
    <n v="9"/>
    <n v="4"/>
    <s v="2025-03-04"/>
  </r>
  <r>
    <s v="FB0203"/>
    <s v="Customer_108"/>
    <x v="3"/>
    <s v="Neutral"/>
    <n v="1"/>
    <n v="1"/>
    <s v="2025-09-26"/>
  </r>
  <r>
    <s v="FB0204"/>
    <s v="Customer_912"/>
    <x v="3"/>
    <s v="Satisfied"/>
    <n v="1"/>
    <n v="2"/>
    <s v="2026-03-18"/>
  </r>
  <r>
    <s v="FB0205"/>
    <s v="Customer_215"/>
    <x v="3"/>
    <s v="Very Satisfied"/>
    <n v="3"/>
    <n v="5"/>
    <s v="2026-03-17"/>
  </r>
  <r>
    <s v="FB0206"/>
    <s v="Customer_961"/>
    <x v="2"/>
    <s v="Satisfied"/>
    <n v="5"/>
    <n v="2"/>
    <s v="2025-10-30"/>
  </r>
  <r>
    <s v="FB0207"/>
    <s v="Customer_353"/>
    <x v="4"/>
    <s v="Very Satisfied"/>
    <n v="6"/>
    <n v="1"/>
    <s v="2026-03-16"/>
  </r>
  <r>
    <s v="FB0208"/>
    <s v="Customer_849"/>
    <x v="0"/>
    <s v="Very Satisfied"/>
    <n v="4"/>
    <n v="3"/>
    <s v="2025-05-17"/>
  </r>
  <r>
    <s v="FB0209"/>
    <s v="Customer_540"/>
    <x v="1"/>
    <s v="Very Satisfied"/>
    <n v="8"/>
    <n v="1"/>
    <s v="2025-09-18"/>
  </r>
  <r>
    <s v="FB0210"/>
    <s v="Customer_859"/>
    <x v="1"/>
    <s v="Satisfied"/>
    <n v="7"/>
    <n v="4"/>
    <s v="2025-04-20"/>
  </r>
  <r>
    <s v="FB0211"/>
    <s v="Customer_433"/>
    <x v="1"/>
    <s v="Neutral"/>
    <n v="4"/>
    <n v="1"/>
    <s v="2025-09-28"/>
  </r>
  <r>
    <s v="FB0212"/>
    <s v="Customer_421"/>
    <x v="0"/>
    <s v="Satisfied"/>
    <n v="1"/>
    <n v="2"/>
    <s v="2025-09-14"/>
  </r>
  <r>
    <s v="FB0213"/>
    <s v="Customer_707"/>
    <x v="1"/>
    <s v="Satisfied"/>
    <n v="7"/>
    <n v="1"/>
    <s v="2025-10-19"/>
  </r>
  <r>
    <s v="FB0214"/>
    <s v="Customer_305"/>
    <x v="4"/>
    <s v="Satisfied"/>
    <n v="8"/>
    <n v="3"/>
    <s v="2025-04-14"/>
  </r>
  <r>
    <s v="FB0215"/>
    <s v="Customer_573"/>
    <x v="4"/>
    <s v="Dissatisfied"/>
    <n v="4"/>
    <n v="4"/>
    <s v="2025-08-09"/>
  </r>
  <r>
    <s v="FB0216"/>
    <s v="Customer_734"/>
    <x v="2"/>
    <s v="Satisfied"/>
    <n v="4"/>
    <n v="1"/>
    <s v="2026-03-11"/>
  </r>
  <r>
    <s v="FB0217"/>
    <s v="Customer_941"/>
    <x v="1"/>
    <s v="Very Satisfied"/>
    <n v="4"/>
    <n v="4"/>
    <s v="2025-12-21"/>
  </r>
  <r>
    <s v="FB0218"/>
    <s v="Customer_511"/>
    <x v="3"/>
    <s v="Dissatisfied"/>
    <n v="10"/>
    <n v="1"/>
    <s v="2025-07-14"/>
  </r>
  <r>
    <s v="FB0219"/>
    <s v="Customer_743"/>
    <x v="4"/>
    <s v="Very Satisfied"/>
    <n v="8"/>
    <n v="2"/>
    <s v="2025-01-05"/>
  </r>
  <r>
    <s v="FB0220"/>
    <s v="Customer_224"/>
    <x v="4"/>
    <s v="Dissatisfied"/>
    <n v="1"/>
    <n v="5"/>
    <s v="2025-02-13"/>
  </r>
  <r>
    <s v="FB0221"/>
    <s v="Customer_98"/>
    <x v="1"/>
    <s v="Dissatisfied"/>
    <n v="1"/>
    <n v="3"/>
    <s v="2025-07-27"/>
  </r>
  <r>
    <s v="FB0222"/>
    <s v="Customer_270"/>
    <x v="0"/>
    <s v="Dissatisfied"/>
    <n v="10"/>
    <n v="1"/>
    <s v="2026-03-22"/>
  </r>
  <r>
    <s v="FB0223"/>
    <s v="Customer_112"/>
    <x v="3"/>
    <s v="Neutral"/>
    <n v="2"/>
    <n v="2"/>
    <s v="2025-07-12"/>
  </r>
  <r>
    <s v="FB0224"/>
    <s v="Customer_64"/>
    <x v="3"/>
    <s v="Very Satisfied"/>
    <n v="10"/>
    <n v="3"/>
    <s v="2026-01-21"/>
  </r>
  <r>
    <s v="FB0225"/>
    <s v="Customer_799"/>
    <x v="1"/>
    <s v="Satisfied"/>
    <n v="6"/>
    <n v="1"/>
    <s v="2025-07-19"/>
  </r>
  <r>
    <s v="FB0226"/>
    <s v="Customer_433"/>
    <x v="0"/>
    <s v="Satisfied"/>
    <n v="7"/>
    <n v="3"/>
    <s v="2025-01-03"/>
  </r>
  <r>
    <s v="FB0227"/>
    <s v="Customer_884"/>
    <x v="3"/>
    <s v="Dissatisfied"/>
    <n v="4"/>
    <n v="1"/>
    <s v="2025-07-01"/>
  </r>
  <r>
    <s v="FB0228"/>
    <s v="Customer_684"/>
    <x v="3"/>
    <s v="Dissatisfied"/>
    <n v="4"/>
    <n v="2"/>
    <s v="2026-04-07"/>
  </r>
  <r>
    <s v="FB0229"/>
    <s v="Customer_843"/>
    <x v="2"/>
    <s v="Neutral"/>
    <n v="3"/>
    <n v="5"/>
    <s v="2026-04-21"/>
  </r>
  <r>
    <s v="FB0230"/>
    <s v="Customer_376"/>
    <x v="0"/>
    <s v="Satisfied"/>
    <n v="8"/>
    <n v="5"/>
    <s v="2025-02-21"/>
  </r>
  <r>
    <s v="FB0231"/>
    <s v="Customer_848"/>
    <x v="0"/>
    <s v="Very Satisfied"/>
    <n v="10"/>
    <n v="3"/>
    <s v="2025-07-26"/>
  </r>
  <r>
    <s v="FB0232"/>
    <s v="Customer_12"/>
    <x v="2"/>
    <s v="Satisfied"/>
    <n v="3"/>
    <n v="2"/>
    <s v="2025-09-13"/>
  </r>
  <r>
    <s v="FB0233"/>
    <s v="Customer_243"/>
    <x v="2"/>
    <s v="Very Satisfied"/>
    <n v="8"/>
    <n v="5"/>
    <s v="2026-05-14"/>
  </r>
  <r>
    <s v="FB0234"/>
    <s v="Customer_431"/>
    <x v="4"/>
    <s v="Satisfied"/>
    <n v="5"/>
    <n v="1"/>
    <s v="2025-01-04"/>
  </r>
  <r>
    <s v="FB0235"/>
    <s v="Customer_575"/>
    <x v="3"/>
    <s v="Neutral"/>
    <n v="3"/>
    <n v="2"/>
    <s v="2026-04-27"/>
  </r>
  <r>
    <s v="FB0236"/>
    <s v="Customer_186"/>
    <x v="2"/>
    <s v="Neutral"/>
    <n v="8"/>
    <n v="3"/>
    <s v="2025-04-12"/>
  </r>
  <r>
    <s v="FB0237"/>
    <s v="Customer_609"/>
    <x v="4"/>
    <s v="Neutral"/>
    <n v="5"/>
    <n v="5"/>
    <s v="2025-09-25"/>
  </r>
  <r>
    <s v="FB0238"/>
    <s v="Customer_20"/>
    <x v="3"/>
    <s v="Satisfied"/>
    <n v="6"/>
    <n v="5"/>
    <s v="2025-02-11"/>
  </r>
  <r>
    <s v="FB0239"/>
    <s v="Customer_403"/>
    <x v="3"/>
    <s v="Satisfied"/>
    <n v="3"/>
    <n v="4"/>
    <s v="2026-02-02"/>
  </r>
  <r>
    <s v="FB0240"/>
    <s v="Customer_301"/>
    <x v="1"/>
    <s v="Satisfied"/>
    <n v="1"/>
    <n v="4"/>
    <s v="2025-02-21"/>
  </r>
  <r>
    <s v="FB0241"/>
    <s v="Customer_693"/>
    <x v="2"/>
    <s v="Neutral"/>
    <n v="6"/>
    <n v="2"/>
    <s v="2025-01-18"/>
  </r>
  <r>
    <s v="FB0242"/>
    <s v="Customer_3"/>
    <x v="1"/>
    <s v="Satisfied"/>
    <n v="8"/>
    <n v="2"/>
    <s v="2025-07-03"/>
  </r>
  <r>
    <s v="FB0243"/>
    <s v="Customer_675"/>
    <x v="4"/>
    <s v="Satisfied"/>
    <n v="1"/>
    <n v="5"/>
    <s v="2025-07-07"/>
  </r>
  <r>
    <s v="FB0244"/>
    <s v="Customer_768"/>
    <x v="3"/>
    <s v="Neutral"/>
    <n v="1"/>
    <n v="1"/>
    <s v="2026-02-06"/>
  </r>
  <r>
    <s v="FB0245"/>
    <s v="Customer_813"/>
    <x v="0"/>
    <s v="Dissatisfied"/>
    <n v="3"/>
    <n v="1"/>
    <s v="2025-01-07"/>
  </r>
  <r>
    <s v="FB0246"/>
    <s v="Customer_82"/>
    <x v="4"/>
    <s v="Satisfied"/>
    <n v="6"/>
    <n v="4"/>
    <s v="2026-03-25"/>
  </r>
  <r>
    <s v="FB0247"/>
    <s v="Customer_126"/>
    <x v="3"/>
    <s v="Dissatisfied"/>
    <n v="8"/>
    <n v="2"/>
    <s v="2025-01-26"/>
  </r>
  <r>
    <s v="FB0248"/>
    <s v="Customer_963"/>
    <x v="0"/>
    <s v="Dissatisfied"/>
    <n v="8"/>
    <n v="3"/>
    <s v="2026-01-22"/>
  </r>
  <r>
    <s v="FB0249"/>
    <s v="Customer_394"/>
    <x v="2"/>
    <s v="Satisfied"/>
    <n v="3"/>
    <n v="2"/>
    <s v="2025-08-24"/>
  </r>
  <r>
    <s v="FB0250"/>
    <s v="Customer_458"/>
    <x v="1"/>
    <s v="Neutral"/>
    <n v="5"/>
    <n v="3"/>
    <s v="2025-08-27"/>
  </r>
  <r>
    <s v="FB0251"/>
    <s v="Customer_205"/>
    <x v="2"/>
    <s v="Neutral"/>
    <n v="7"/>
    <n v="2"/>
    <s v="2025-09-16"/>
  </r>
  <r>
    <s v="FB0252"/>
    <s v="Customer_378"/>
    <x v="4"/>
    <s v="Satisfied"/>
    <n v="2"/>
    <n v="5"/>
    <s v="2025-04-08"/>
  </r>
  <r>
    <s v="FB0253"/>
    <s v="Customer_154"/>
    <x v="1"/>
    <s v="Dissatisfied"/>
    <n v="5"/>
    <n v="3"/>
    <s v="2025-05-13"/>
  </r>
  <r>
    <s v="FB0254"/>
    <s v="Customer_8"/>
    <x v="1"/>
    <s v="Very Satisfied"/>
    <n v="7"/>
    <n v="2"/>
    <s v="2025-01-02"/>
  </r>
  <r>
    <s v="FB0255"/>
    <s v="Customer_987"/>
    <x v="4"/>
    <s v="Dissatisfied"/>
    <n v="10"/>
    <n v="3"/>
    <s v="2025-03-20"/>
  </r>
  <r>
    <s v="FB0256"/>
    <s v="Customer_473"/>
    <x v="4"/>
    <s v="Neutral"/>
    <n v="1"/>
    <n v="5"/>
    <s v="2025-07-29"/>
  </r>
  <r>
    <s v="FB0257"/>
    <s v="Customer_617"/>
    <x v="1"/>
    <s v="Very Satisfied"/>
    <n v="7"/>
    <n v="2"/>
    <s v="2026-02-21"/>
  </r>
  <r>
    <s v="FB0258"/>
    <s v="Customer_608"/>
    <x v="4"/>
    <s v="Very Satisfied"/>
    <n v="6"/>
    <n v="4"/>
    <s v="2025-10-06"/>
  </r>
  <r>
    <s v="FB0259"/>
    <s v="Customer_994"/>
    <x v="0"/>
    <s v="Satisfied"/>
    <n v="8"/>
    <n v="4"/>
    <s v="2026-01-15"/>
  </r>
  <r>
    <s v="FB0260"/>
    <s v="Customer_656"/>
    <x v="4"/>
    <s v="Satisfied"/>
    <n v="7"/>
    <n v="5"/>
    <s v="2026-03-14"/>
  </r>
  <r>
    <s v="FB0261"/>
    <s v="Customer_164"/>
    <x v="2"/>
    <s v="Dissatisfied"/>
    <n v="7"/>
    <n v="4"/>
    <s v="2025-10-29"/>
  </r>
  <r>
    <s v="FB0262"/>
    <s v="Customer_74"/>
    <x v="1"/>
    <s v="Neutral"/>
    <n v="9"/>
    <n v="3"/>
    <s v="2025-10-18"/>
  </r>
  <r>
    <s v="FB0263"/>
    <s v="Customer_166"/>
    <x v="1"/>
    <s v="Neutral"/>
    <n v="10"/>
    <n v="5"/>
    <s v="2025-12-28"/>
  </r>
  <r>
    <s v="FB0264"/>
    <s v="Customer_80"/>
    <x v="2"/>
    <s v="Satisfied"/>
    <n v="5"/>
    <n v="1"/>
    <s v="2025-03-19"/>
  </r>
  <r>
    <s v="FB0265"/>
    <s v="Customer_944"/>
    <x v="1"/>
    <s v="Neutral"/>
    <n v="6"/>
    <n v="3"/>
    <s v="2026-04-19"/>
  </r>
  <r>
    <s v="FB0266"/>
    <s v="Customer_875"/>
    <x v="3"/>
    <s v="Dissatisfied"/>
    <n v="5"/>
    <n v="2"/>
    <s v="2025-10-26"/>
  </r>
  <r>
    <s v="FB0267"/>
    <s v="Customer_924"/>
    <x v="0"/>
    <s v="Neutral"/>
    <n v="1"/>
    <n v="3"/>
    <s v="2025-03-26"/>
  </r>
  <r>
    <s v="FB0268"/>
    <s v="Customer_429"/>
    <x v="1"/>
    <s v="Neutral"/>
    <n v="10"/>
    <n v="1"/>
    <s v="2025-06-21"/>
  </r>
  <r>
    <s v="FB0269"/>
    <s v="Customer_699"/>
    <x v="2"/>
    <s v="Satisfied"/>
    <n v="10"/>
    <n v="2"/>
    <s v="2025-10-16"/>
  </r>
  <r>
    <s v="FB0270"/>
    <s v="Customer_452"/>
    <x v="1"/>
    <s v="Neutral"/>
    <n v="10"/>
    <n v="1"/>
    <s v="2025-08-20"/>
  </r>
  <r>
    <s v="FB0271"/>
    <s v="Customer_850"/>
    <x v="4"/>
    <s v="Satisfied"/>
    <n v="3"/>
    <n v="3"/>
    <s v="2025-01-21"/>
  </r>
  <r>
    <s v="FB0272"/>
    <s v="Customer_389"/>
    <x v="4"/>
    <s v="Very Satisfied"/>
    <n v="9"/>
    <n v="4"/>
    <s v="2025-02-26"/>
  </r>
  <r>
    <s v="FB0273"/>
    <s v="Customer_322"/>
    <x v="3"/>
    <s v="Dissatisfied"/>
    <n v="4"/>
    <n v="1"/>
    <s v="2025-07-19"/>
  </r>
  <r>
    <s v="FB0274"/>
    <s v="Customer_325"/>
    <x v="4"/>
    <s v="Neutral"/>
    <n v="8"/>
    <n v="1"/>
    <s v="2025-08-16"/>
  </r>
  <r>
    <s v="FB0275"/>
    <s v="Customer_616"/>
    <x v="3"/>
    <s v="Very Satisfied"/>
    <n v="9"/>
    <n v="5"/>
    <s v="2025-06-15"/>
  </r>
  <r>
    <s v="FB0276"/>
    <s v="Customer_846"/>
    <x v="1"/>
    <s v="Very Satisfied"/>
    <n v="10"/>
    <n v="2"/>
    <s v="2026-03-21"/>
  </r>
  <r>
    <s v="FB0277"/>
    <s v="Customer_41"/>
    <x v="2"/>
    <s v="Satisfied"/>
    <n v="5"/>
    <n v="1"/>
    <s v="2025-01-09"/>
  </r>
  <r>
    <s v="FB0278"/>
    <s v="Customer_95"/>
    <x v="1"/>
    <s v="Dissatisfied"/>
    <n v="2"/>
    <n v="2"/>
    <s v="2025-10-20"/>
  </r>
  <r>
    <s v="FB0279"/>
    <s v="Customer_225"/>
    <x v="3"/>
    <s v="Satisfied"/>
    <n v="7"/>
    <n v="2"/>
    <s v="2025-10-27"/>
  </r>
  <r>
    <s v="FB0280"/>
    <s v="Customer_744"/>
    <x v="3"/>
    <s v="Very Satisfied"/>
    <n v="10"/>
    <n v="5"/>
    <s v="2026-05-08"/>
  </r>
  <r>
    <s v="FB0281"/>
    <s v="Customer_33"/>
    <x v="0"/>
    <s v="Very Satisfied"/>
    <n v="8"/>
    <n v="5"/>
    <s v="2025-04-04"/>
  </r>
  <r>
    <s v="FB0282"/>
    <s v="Customer_272"/>
    <x v="3"/>
    <s v="Very Satisfied"/>
    <n v="8"/>
    <n v="1"/>
    <s v="2025-09-07"/>
  </r>
  <r>
    <s v="FB0283"/>
    <s v="Customer_641"/>
    <x v="4"/>
    <s v="Very Satisfied"/>
    <n v="3"/>
    <n v="2"/>
    <s v="2025-05-23"/>
  </r>
  <r>
    <s v="FB0284"/>
    <s v="Customer_596"/>
    <x v="4"/>
    <s v="Dissatisfied"/>
    <n v="3"/>
    <n v="3"/>
    <s v="2025-12-04"/>
  </r>
  <r>
    <s v="FB0285"/>
    <s v="Customer_832"/>
    <x v="1"/>
    <s v="Very Satisfied"/>
    <n v="9"/>
    <n v="3"/>
    <s v="2026-02-11"/>
  </r>
  <r>
    <s v="FB0286"/>
    <s v="Customer_916"/>
    <x v="1"/>
    <s v="Very Satisfied"/>
    <n v="1"/>
    <n v="4"/>
    <s v="2025-04-10"/>
  </r>
  <r>
    <s v="FB0287"/>
    <s v="Customer_857"/>
    <x v="4"/>
    <s v="Neutral"/>
    <n v="3"/>
    <n v="3"/>
    <s v="2025-01-18"/>
  </r>
  <r>
    <s v="FB0288"/>
    <s v="Customer_333"/>
    <x v="4"/>
    <s v="Neutral"/>
    <n v="5"/>
    <n v="1"/>
    <s v="2025-05-29"/>
  </r>
  <r>
    <s v="FB0289"/>
    <s v="Customer_40"/>
    <x v="3"/>
    <s v="Very Satisfied"/>
    <n v="1"/>
    <n v="1"/>
    <s v="2025-07-13"/>
  </r>
  <r>
    <s v="FB0290"/>
    <s v="Customer_90"/>
    <x v="1"/>
    <s v="Neutral"/>
    <n v="4"/>
    <n v="5"/>
    <s v="2025-09-21"/>
  </r>
  <r>
    <s v="FB0291"/>
    <s v="Customer_487"/>
    <x v="0"/>
    <s v="Dissatisfied"/>
    <n v="4"/>
    <n v="3"/>
    <s v="2026-03-19"/>
  </r>
  <r>
    <s v="FB0292"/>
    <s v="Customer_659"/>
    <x v="1"/>
    <s v="Dissatisfied"/>
    <n v="4"/>
    <n v="1"/>
    <s v="2026-01-26"/>
  </r>
  <r>
    <s v="FB0293"/>
    <s v="Customer_134"/>
    <x v="0"/>
    <s v="Neutral"/>
    <n v="3"/>
    <n v="3"/>
    <s v="2025-12-28"/>
  </r>
  <r>
    <s v="FB0294"/>
    <s v="Customer_614"/>
    <x v="3"/>
    <s v="Very Satisfied"/>
    <n v="8"/>
    <n v="1"/>
    <s v="2025-02-02"/>
  </r>
  <r>
    <s v="FB0295"/>
    <s v="Customer_235"/>
    <x v="1"/>
    <s v="Satisfied"/>
    <n v="4"/>
    <n v="1"/>
    <s v="2025-03-30"/>
  </r>
  <r>
    <s v="FB0296"/>
    <s v="Customer_502"/>
    <x v="1"/>
    <s v="Satisfied"/>
    <n v="8"/>
    <n v="1"/>
    <s v="2025-10-12"/>
  </r>
  <r>
    <s v="FB0297"/>
    <s v="Customer_281"/>
    <x v="1"/>
    <s v="Dissatisfied"/>
    <n v="6"/>
    <n v="1"/>
    <s v="2025-04-01"/>
  </r>
  <r>
    <s v="FB0298"/>
    <s v="Customer_11"/>
    <x v="1"/>
    <s v="Satisfied"/>
    <n v="10"/>
    <n v="5"/>
    <s v="2025-10-09"/>
  </r>
  <r>
    <s v="FB0299"/>
    <s v="Customer_449"/>
    <x v="4"/>
    <s v="Dissatisfied"/>
    <n v="5"/>
    <n v="2"/>
    <s v="2025-11-25"/>
  </r>
  <r>
    <s v="FB0300"/>
    <s v="Customer_210"/>
    <x v="0"/>
    <s v="Dissatisfied"/>
    <n v="2"/>
    <n v="3"/>
    <s v="2025-11-08"/>
  </r>
  <r>
    <s v="FB0301"/>
    <s v="Customer_285"/>
    <x v="0"/>
    <s v="Dissatisfied"/>
    <n v="3"/>
    <n v="5"/>
    <s v="2026-02-28"/>
  </r>
  <r>
    <s v="FB0302"/>
    <s v="Customer_634"/>
    <x v="4"/>
    <s v="Dissatisfied"/>
    <n v="5"/>
    <n v="4"/>
    <s v="2025-10-29"/>
  </r>
  <r>
    <s v="FB0303"/>
    <s v="Customer_420"/>
    <x v="4"/>
    <s v="Neutral"/>
    <n v="6"/>
    <n v="1"/>
    <s v="2025-08-22"/>
  </r>
  <r>
    <s v="FB0304"/>
    <s v="Customer_831"/>
    <x v="1"/>
    <s v="Neutral"/>
    <n v="6"/>
    <n v="3"/>
    <s v="2026-02-10"/>
  </r>
  <r>
    <s v="FB0305"/>
    <s v="Customer_320"/>
    <x v="1"/>
    <s v="Neutral"/>
    <n v="1"/>
    <n v="5"/>
    <s v="2025-09-08"/>
  </r>
  <r>
    <s v="FB0306"/>
    <s v="Customer_268"/>
    <x v="2"/>
    <s v="Satisfied"/>
    <n v="9"/>
    <n v="1"/>
    <s v="2025-09-27"/>
  </r>
  <r>
    <s v="FB0307"/>
    <s v="Customer_638"/>
    <x v="1"/>
    <s v="Neutral"/>
    <n v="9"/>
    <n v="1"/>
    <s v="2025-06-21"/>
  </r>
  <r>
    <s v="FB0308"/>
    <s v="Customer_464"/>
    <x v="1"/>
    <s v="Dissatisfied"/>
    <n v="1"/>
    <n v="4"/>
    <s v="2025-03-09"/>
  </r>
  <r>
    <s v="FB0309"/>
    <s v="Customer_433"/>
    <x v="3"/>
    <s v="Very Satisfied"/>
    <n v="3"/>
    <n v="4"/>
    <s v="2026-03-19"/>
  </r>
  <r>
    <s v="FB0310"/>
    <s v="Customer_257"/>
    <x v="3"/>
    <s v="Dissatisfied"/>
    <n v="10"/>
    <n v="4"/>
    <s v="2025-07-21"/>
  </r>
  <r>
    <s v="FB0311"/>
    <s v="Customer_983"/>
    <x v="2"/>
    <s v="Very Satisfied"/>
    <n v="7"/>
    <n v="4"/>
    <s v="2026-02-27"/>
  </r>
  <r>
    <s v="FB0312"/>
    <s v="Customer_193"/>
    <x v="2"/>
    <s v="Very Satisfied"/>
    <n v="5"/>
    <n v="2"/>
    <s v="2025-10-10"/>
  </r>
  <r>
    <s v="FB0313"/>
    <s v="Customer_481"/>
    <x v="2"/>
    <s v="Neutral"/>
    <n v="7"/>
    <n v="1"/>
    <s v="2025-01-18"/>
  </r>
  <r>
    <s v="FB0314"/>
    <s v="Customer_962"/>
    <x v="2"/>
    <s v="Dissatisfied"/>
    <n v="8"/>
    <n v="2"/>
    <s v="2025-04-25"/>
  </r>
  <r>
    <s v="FB0315"/>
    <s v="Customer_7"/>
    <x v="1"/>
    <s v="Satisfied"/>
    <n v="5"/>
    <n v="1"/>
    <s v="2025-01-01"/>
  </r>
  <r>
    <s v="FB0316"/>
    <s v="Customer_296"/>
    <x v="4"/>
    <s v="Neutral"/>
    <n v="6"/>
    <n v="4"/>
    <s v="2025-12-21"/>
  </r>
  <r>
    <s v="FB0317"/>
    <s v="Customer_154"/>
    <x v="4"/>
    <s v="Satisfied"/>
    <n v="8"/>
    <n v="1"/>
    <s v="2026-02-22"/>
  </r>
  <r>
    <s v="FB0318"/>
    <s v="Customer_777"/>
    <x v="0"/>
    <s v="Neutral"/>
    <n v="2"/>
    <n v="1"/>
    <s v="2025-01-19"/>
  </r>
  <r>
    <s v="FB0319"/>
    <s v="Customer_837"/>
    <x v="1"/>
    <s v="Dissatisfied"/>
    <n v="7"/>
    <n v="1"/>
    <s v="2026-05-11"/>
  </r>
  <r>
    <s v="FB0320"/>
    <s v="Customer_655"/>
    <x v="0"/>
    <s v="Neutral"/>
    <n v="10"/>
    <n v="2"/>
    <s v="2025-09-27"/>
  </r>
  <r>
    <s v="FB0321"/>
    <s v="Customer_221"/>
    <x v="2"/>
    <s v="Neutral"/>
    <n v="9"/>
    <n v="2"/>
    <s v="2025-09-25"/>
  </r>
  <r>
    <s v="FB0322"/>
    <s v="Customer_721"/>
    <x v="2"/>
    <s v="Satisfied"/>
    <n v="4"/>
    <n v="3"/>
    <s v="2025-05-11"/>
  </r>
  <r>
    <s v="FB0323"/>
    <s v="Customer_138"/>
    <x v="4"/>
    <s v="Satisfied"/>
    <n v="10"/>
    <n v="5"/>
    <s v="2026-04-13"/>
  </r>
  <r>
    <s v="FB0324"/>
    <s v="Customer_395"/>
    <x v="1"/>
    <s v="Neutral"/>
    <n v="10"/>
    <n v="1"/>
    <s v="2025-11-02"/>
  </r>
  <r>
    <s v="FB0325"/>
    <s v="Customer_270"/>
    <x v="2"/>
    <s v="Neutral"/>
    <n v="6"/>
    <n v="2"/>
    <s v="2025-11-07"/>
  </r>
  <r>
    <s v="FB0326"/>
    <s v="Customer_169"/>
    <x v="2"/>
    <s v="Very Satisfied"/>
    <n v="2"/>
    <n v="5"/>
    <s v="2025-08-31"/>
  </r>
  <r>
    <s v="FB0327"/>
    <s v="Customer_648"/>
    <x v="4"/>
    <s v="Satisfied"/>
    <n v="4"/>
    <n v="3"/>
    <s v="2025-03-20"/>
  </r>
  <r>
    <s v="FB0328"/>
    <s v="Customer_177"/>
    <x v="0"/>
    <s v="Very Satisfied"/>
    <n v="1"/>
    <n v="3"/>
    <s v="2025-04-29"/>
  </r>
  <r>
    <s v="FB0329"/>
    <s v="Customer_617"/>
    <x v="2"/>
    <s v="Dissatisfied"/>
    <n v="3"/>
    <n v="1"/>
    <s v="2025-08-13"/>
  </r>
  <r>
    <s v="FB0330"/>
    <s v="Customer_473"/>
    <x v="4"/>
    <s v="Dissatisfied"/>
    <n v="7"/>
    <n v="4"/>
    <s v="2025-09-03"/>
  </r>
  <r>
    <s v="FB0331"/>
    <s v="Customer_201"/>
    <x v="0"/>
    <s v="Neutral"/>
    <n v="3"/>
    <n v="3"/>
    <s v="2025-04-03"/>
  </r>
  <r>
    <s v="FB0332"/>
    <s v="Customer_915"/>
    <x v="3"/>
    <s v="Neutral"/>
    <n v="9"/>
    <n v="1"/>
    <s v="2025-03-11"/>
  </r>
  <r>
    <s v="FB0333"/>
    <s v="Customer_633"/>
    <x v="0"/>
    <s v="Satisfied"/>
    <n v="5"/>
    <n v="4"/>
    <s v="2025-03-13"/>
  </r>
  <r>
    <s v="FB0334"/>
    <s v="Customer_157"/>
    <x v="4"/>
    <s v="Very Satisfied"/>
    <n v="2"/>
    <n v="3"/>
    <s v="2026-01-10"/>
  </r>
  <r>
    <s v="FB0335"/>
    <s v="Customer_810"/>
    <x v="3"/>
    <s v="Neutral"/>
    <n v="3"/>
    <n v="5"/>
    <s v="2025-05-29"/>
  </r>
  <r>
    <s v="FB0336"/>
    <s v="Customer_535"/>
    <x v="1"/>
    <s v="Very Satisfied"/>
    <n v="2"/>
    <n v="2"/>
    <s v="2025-01-31"/>
  </r>
  <r>
    <s v="FB0337"/>
    <s v="Customer_482"/>
    <x v="0"/>
    <s v="Dissatisfied"/>
    <n v="6"/>
    <n v="2"/>
    <s v="2025-02-03"/>
  </r>
  <r>
    <s v="FB0338"/>
    <s v="Customer_105"/>
    <x v="3"/>
    <s v="Neutral"/>
    <n v="10"/>
    <n v="2"/>
    <s v="2026-04-25"/>
  </r>
  <r>
    <s v="FB0339"/>
    <s v="Customer_898"/>
    <x v="0"/>
    <s v="Dissatisfied"/>
    <n v="9"/>
    <n v="1"/>
    <s v="2026-02-05"/>
  </r>
  <r>
    <s v="FB0340"/>
    <s v="Customer_786"/>
    <x v="1"/>
    <s v="Neutral"/>
    <n v="4"/>
    <n v="5"/>
    <s v="2026-01-29"/>
  </r>
  <r>
    <s v="FB0341"/>
    <s v="Customer_265"/>
    <x v="1"/>
    <s v="Dissatisfied"/>
    <n v="7"/>
    <n v="5"/>
    <s v="2025-11-20"/>
  </r>
  <r>
    <s v="FB0342"/>
    <s v="Customer_648"/>
    <x v="0"/>
    <s v="Very Satisfied"/>
    <n v="2"/>
    <n v="3"/>
    <s v="2025-03-24"/>
  </r>
  <r>
    <s v="FB0343"/>
    <s v="Customer_997"/>
    <x v="1"/>
    <s v="Neutral"/>
    <n v="4"/>
    <n v="3"/>
    <s v="2026-04-18"/>
  </r>
  <r>
    <s v="FB0344"/>
    <s v="Customer_835"/>
    <x v="0"/>
    <s v="Neutral"/>
    <n v="4"/>
    <n v="2"/>
    <s v="2025-06-12"/>
  </r>
  <r>
    <s v="FB0345"/>
    <s v="Customer_913"/>
    <x v="4"/>
    <s v="Dissatisfied"/>
    <n v="9"/>
    <n v="5"/>
    <s v="2026-03-12"/>
  </r>
  <r>
    <s v="FB0346"/>
    <s v="Customer_888"/>
    <x v="3"/>
    <s v="Satisfied"/>
    <n v="10"/>
    <n v="5"/>
    <s v="2025-07-04"/>
  </r>
  <r>
    <s v="FB0347"/>
    <s v="Customer_726"/>
    <x v="3"/>
    <s v="Satisfied"/>
    <n v="9"/>
    <n v="5"/>
    <s v="2026-01-04"/>
  </r>
  <r>
    <s v="FB0348"/>
    <s v="Customer_577"/>
    <x v="3"/>
    <s v="Satisfied"/>
    <n v="10"/>
    <n v="1"/>
    <s v="2025-08-30"/>
  </r>
  <r>
    <s v="FB0349"/>
    <s v="Customer_587"/>
    <x v="3"/>
    <s v="Very Satisfied"/>
    <n v="10"/>
    <n v="1"/>
    <s v="2025-03-12"/>
  </r>
  <r>
    <s v="FB0350"/>
    <s v="Customer_531"/>
    <x v="3"/>
    <s v="Dissatisfied"/>
    <n v="7"/>
    <n v="4"/>
    <s v="2025-06-26"/>
  </r>
  <r>
    <s v="FB0351"/>
    <s v="Customer_570"/>
    <x v="4"/>
    <s v="Neutral"/>
    <n v="4"/>
    <n v="4"/>
    <s v="2025-11-02"/>
  </r>
  <r>
    <s v="FB0352"/>
    <s v="Customer_982"/>
    <x v="2"/>
    <s v="Very Satisfied"/>
    <n v="2"/>
    <n v="4"/>
    <s v="2025-12-07"/>
  </r>
  <r>
    <s v="FB0353"/>
    <s v="Customer_292"/>
    <x v="4"/>
    <s v="Neutral"/>
    <n v="4"/>
    <n v="4"/>
    <s v="2026-03-06"/>
  </r>
  <r>
    <s v="FB0354"/>
    <s v="Customer_457"/>
    <x v="3"/>
    <s v="Dissatisfied"/>
    <n v="9"/>
    <n v="1"/>
    <s v="2025-08-25"/>
  </r>
  <r>
    <s v="FB0355"/>
    <s v="Customer_573"/>
    <x v="1"/>
    <s v="Neutral"/>
    <n v="1"/>
    <n v="3"/>
    <s v="2025-08-24"/>
  </r>
  <r>
    <s v="FB0356"/>
    <s v="Customer_593"/>
    <x v="3"/>
    <s v="Neutral"/>
    <n v="7"/>
    <n v="4"/>
    <s v="2025-11-28"/>
  </r>
  <r>
    <s v="FB0357"/>
    <s v="Customer_951"/>
    <x v="2"/>
    <s v="Dissatisfied"/>
    <n v="7"/>
    <n v="3"/>
    <s v="2025-04-04"/>
  </r>
  <r>
    <s v="FB0358"/>
    <s v="Customer_464"/>
    <x v="4"/>
    <s v="Satisfied"/>
    <n v="7"/>
    <n v="1"/>
    <s v="2025-10-17"/>
  </r>
  <r>
    <s v="FB0359"/>
    <s v="Customer_849"/>
    <x v="3"/>
    <s v="Dissatisfied"/>
    <n v="8"/>
    <n v="3"/>
    <s v="2026-04-22"/>
  </r>
  <r>
    <s v="FB0360"/>
    <s v="Customer_756"/>
    <x v="0"/>
    <s v="Dissatisfied"/>
    <n v="10"/>
    <n v="4"/>
    <s v="2026-02-20"/>
  </r>
  <r>
    <s v="FB0361"/>
    <s v="Customer_324"/>
    <x v="1"/>
    <s v="Satisfied"/>
    <n v="7"/>
    <n v="5"/>
    <s v="2026-02-10"/>
  </r>
  <r>
    <s v="FB0362"/>
    <s v="Customer_56"/>
    <x v="1"/>
    <s v="Satisfied"/>
    <n v="5"/>
    <n v="2"/>
    <s v="2025-10-18"/>
  </r>
  <r>
    <s v="FB0363"/>
    <s v="Customer_210"/>
    <x v="1"/>
    <s v="Dissatisfied"/>
    <n v="2"/>
    <n v="4"/>
    <s v="2026-02-18"/>
  </r>
  <r>
    <s v="FB0364"/>
    <s v="Customer_218"/>
    <x v="2"/>
    <s v="Dissatisfied"/>
    <n v="3"/>
    <n v="2"/>
    <s v="2025-03-16"/>
  </r>
  <r>
    <s v="FB0365"/>
    <s v="Customer_358"/>
    <x v="2"/>
    <s v="Satisfied"/>
    <n v="6"/>
    <n v="5"/>
    <s v="2025-12-14"/>
  </r>
  <r>
    <s v="FB0366"/>
    <s v="Customer_537"/>
    <x v="2"/>
    <s v="Very Satisfied"/>
    <n v="9"/>
    <n v="1"/>
    <s v="2025-10-28"/>
  </r>
  <r>
    <s v="FB0367"/>
    <s v="Customer_959"/>
    <x v="1"/>
    <s v="Dissatisfied"/>
    <n v="9"/>
    <n v="5"/>
    <s v="2025-02-13"/>
  </r>
  <r>
    <s v="FB0368"/>
    <s v="Customer_695"/>
    <x v="0"/>
    <s v="Neutral"/>
    <n v="3"/>
    <n v="3"/>
    <s v="2026-04-24"/>
  </r>
  <r>
    <s v="FB0369"/>
    <s v="Customer_375"/>
    <x v="0"/>
    <s v="Very Satisfied"/>
    <n v="6"/>
    <n v="5"/>
    <s v="2025-05-30"/>
  </r>
  <r>
    <s v="FB0370"/>
    <s v="Customer_546"/>
    <x v="2"/>
    <s v="Satisfied"/>
    <n v="5"/>
    <n v="4"/>
    <s v="2025-07-18"/>
  </r>
  <r>
    <s v="FB0371"/>
    <s v="Customer_359"/>
    <x v="4"/>
    <s v="Dissatisfied"/>
    <n v="1"/>
    <n v="2"/>
    <s v="2025-07-06"/>
  </r>
  <r>
    <s v="FB0372"/>
    <s v="Customer_864"/>
    <x v="2"/>
    <s v="Satisfied"/>
    <n v="2"/>
    <n v="1"/>
    <s v="2026-02-11"/>
  </r>
  <r>
    <s v="FB0373"/>
    <s v="Customer_716"/>
    <x v="2"/>
    <s v="Neutral"/>
    <n v="4"/>
    <n v="5"/>
    <s v="2025-05-06"/>
  </r>
  <r>
    <s v="FB0374"/>
    <s v="Customer_609"/>
    <x v="2"/>
    <s v="Dissatisfied"/>
    <n v="1"/>
    <n v="5"/>
    <s v="2025-03-15"/>
  </r>
  <r>
    <s v="FB0375"/>
    <s v="Customer_941"/>
    <x v="2"/>
    <s v="Satisfied"/>
    <n v="2"/>
    <n v="2"/>
    <s v="2025-11-13"/>
  </r>
  <r>
    <s v="FB0376"/>
    <s v="Customer_978"/>
    <x v="3"/>
    <s v="Very Satisfied"/>
    <n v="8"/>
    <n v="3"/>
    <s v="2025-10-22"/>
  </r>
  <r>
    <s v="FB0377"/>
    <s v="Customer_262"/>
    <x v="4"/>
    <s v="Dissatisfied"/>
    <n v="6"/>
    <n v="5"/>
    <s v="2026-05-13"/>
  </r>
  <r>
    <s v="FB0378"/>
    <s v="Customer_4"/>
    <x v="3"/>
    <s v="Satisfied"/>
    <n v="7"/>
    <n v="3"/>
    <s v="2025-11-23"/>
  </r>
  <r>
    <s v="FB0379"/>
    <s v="Customer_529"/>
    <x v="3"/>
    <s v="Neutral"/>
    <n v="4"/>
    <n v="3"/>
    <s v="2025-07-08"/>
  </r>
  <r>
    <s v="FB0380"/>
    <s v="Customer_773"/>
    <x v="4"/>
    <s v="Very Satisfied"/>
    <n v="8"/>
    <n v="3"/>
    <s v="2026-03-19"/>
  </r>
  <r>
    <s v="FB0381"/>
    <s v="Customer_134"/>
    <x v="3"/>
    <s v="Neutral"/>
    <n v="4"/>
    <n v="1"/>
    <s v="2025-03-13"/>
  </r>
  <r>
    <s v="FB0382"/>
    <s v="Customer_696"/>
    <x v="2"/>
    <s v="Satisfied"/>
    <n v="1"/>
    <n v="4"/>
    <s v="2025-11-26"/>
  </r>
  <r>
    <s v="FB0383"/>
    <s v="Customer_318"/>
    <x v="0"/>
    <s v="Neutral"/>
    <n v="7"/>
    <n v="4"/>
    <s v="2025-02-08"/>
  </r>
  <r>
    <s v="FB0384"/>
    <s v="Customer_15"/>
    <x v="4"/>
    <s v="Very Satisfied"/>
    <n v="5"/>
    <n v="3"/>
    <s v="2025-08-03"/>
  </r>
  <r>
    <s v="FB0385"/>
    <s v="Customer_151"/>
    <x v="0"/>
    <s v="Very Satisfied"/>
    <n v="3"/>
    <n v="2"/>
    <s v="2025-02-14"/>
  </r>
  <r>
    <s v="FB0386"/>
    <s v="Customer_932"/>
    <x v="2"/>
    <s v="Very Satisfied"/>
    <n v="2"/>
    <n v="3"/>
    <s v="2025-06-25"/>
  </r>
  <r>
    <s v="FB0387"/>
    <s v="Customer_763"/>
    <x v="3"/>
    <s v="Neutral"/>
    <n v="8"/>
    <n v="1"/>
    <s v="2025-01-21"/>
  </r>
  <r>
    <s v="FB0388"/>
    <s v="Customer_107"/>
    <x v="4"/>
    <s v="Satisfied"/>
    <n v="9"/>
    <n v="5"/>
    <s v="2025-01-13"/>
  </r>
  <r>
    <s v="FB0389"/>
    <s v="Customer_303"/>
    <x v="0"/>
    <s v="Very Satisfied"/>
    <n v="5"/>
    <n v="4"/>
    <s v="2025-01-27"/>
  </r>
  <r>
    <s v="FB0390"/>
    <s v="Customer_718"/>
    <x v="3"/>
    <s v="Neutral"/>
    <n v="6"/>
    <n v="3"/>
    <s v="2025-09-13"/>
  </r>
  <r>
    <s v="FB0391"/>
    <s v="Customer_35"/>
    <x v="3"/>
    <s v="Dissatisfied"/>
    <n v="4"/>
    <n v="4"/>
    <s v="2025-04-12"/>
  </r>
  <r>
    <s v="FB0392"/>
    <s v="Customer_722"/>
    <x v="2"/>
    <s v="Satisfied"/>
    <n v="8"/>
    <n v="4"/>
    <s v="2025-12-21"/>
  </r>
  <r>
    <s v="FB0393"/>
    <s v="Customer_994"/>
    <x v="0"/>
    <s v="Dissatisfied"/>
    <n v="1"/>
    <n v="3"/>
    <s v="2025-01-12"/>
  </r>
  <r>
    <s v="FB0394"/>
    <s v="Customer_457"/>
    <x v="1"/>
    <s v="Satisfied"/>
    <n v="8"/>
    <n v="3"/>
    <s v="2025-11-20"/>
  </r>
  <r>
    <s v="FB0395"/>
    <s v="Customer_638"/>
    <x v="0"/>
    <s v="Very Satisfied"/>
    <n v="8"/>
    <n v="5"/>
    <s v="2025-02-27"/>
  </r>
  <r>
    <s v="FB0396"/>
    <s v="Customer_606"/>
    <x v="3"/>
    <s v="Neutral"/>
    <n v="6"/>
    <n v="5"/>
    <s v="2025-05-22"/>
  </r>
  <r>
    <s v="FB0397"/>
    <s v="Customer_20"/>
    <x v="1"/>
    <s v="Dissatisfied"/>
    <n v="3"/>
    <n v="1"/>
    <s v="2025-08-11"/>
  </r>
  <r>
    <s v="FB0398"/>
    <s v="Customer_585"/>
    <x v="2"/>
    <s v="Very Satisfied"/>
    <n v="5"/>
    <n v="4"/>
    <s v="2025-09-01"/>
  </r>
  <r>
    <s v="FB0399"/>
    <s v="Customer_529"/>
    <x v="2"/>
    <s v="Satisfied"/>
    <n v="3"/>
    <n v="1"/>
    <s v="2026-02-14"/>
  </r>
  <r>
    <s v="FB0400"/>
    <s v="Customer_435"/>
    <x v="1"/>
    <s v="Satisfied"/>
    <n v="2"/>
    <n v="2"/>
    <s v="2025-12-04"/>
  </r>
  <r>
    <s v="FB0401"/>
    <s v="Customer_848"/>
    <x v="3"/>
    <s v="Dissatisfied"/>
    <n v="3"/>
    <n v="5"/>
    <s v="2025-05-09"/>
  </r>
  <r>
    <s v="FB0402"/>
    <s v="Customer_894"/>
    <x v="3"/>
    <s v="Very Satisfied"/>
    <n v="4"/>
    <n v="2"/>
    <s v="2025-06-03"/>
  </r>
  <r>
    <s v="FB0403"/>
    <s v="Customer_20"/>
    <x v="4"/>
    <s v="Dissatisfied"/>
    <n v="3"/>
    <n v="3"/>
    <s v="2025-01-12"/>
  </r>
  <r>
    <s v="FB0404"/>
    <s v="Customer_26"/>
    <x v="3"/>
    <s v="Dissatisfied"/>
    <n v="4"/>
    <n v="4"/>
    <s v="2025-02-04"/>
  </r>
  <r>
    <s v="FB0405"/>
    <s v="Customer_307"/>
    <x v="0"/>
    <s v="Very Satisfied"/>
    <n v="5"/>
    <n v="4"/>
    <s v="2025-01-09"/>
  </r>
  <r>
    <s v="FB0406"/>
    <s v="Customer_663"/>
    <x v="1"/>
    <s v="Very Satisfied"/>
    <n v="2"/>
    <n v="5"/>
    <s v="2025-10-20"/>
  </r>
  <r>
    <s v="FB0407"/>
    <s v="Customer_522"/>
    <x v="0"/>
    <s v="Neutral"/>
    <n v="8"/>
    <n v="4"/>
    <s v="2025-04-13"/>
  </r>
  <r>
    <s v="FB0408"/>
    <s v="Customer_432"/>
    <x v="3"/>
    <s v="Very Satisfied"/>
    <n v="3"/>
    <n v="4"/>
    <s v="2025-01-01"/>
  </r>
  <r>
    <s v="FB0409"/>
    <s v="Customer_541"/>
    <x v="0"/>
    <s v="Dissatisfied"/>
    <n v="10"/>
    <n v="1"/>
    <s v="2026-02-01"/>
  </r>
  <r>
    <s v="FB0410"/>
    <s v="Customer_313"/>
    <x v="3"/>
    <s v="Very Satisfied"/>
    <n v="2"/>
    <n v="3"/>
    <s v="2025-04-26"/>
  </r>
  <r>
    <s v="FB0411"/>
    <s v="Customer_283"/>
    <x v="3"/>
    <s v="Very Satisfied"/>
    <n v="9"/>
    <n v="5"/>
    <s v="2026-04-20"/>
  </r>
  <r>
    <s v="FB0412"/>
    <s v="Customer_440"/>
    <x v="4"/>
    <s v="Neutral"/>
    <n v="10"/>
    <n v="5"/>
    <s v="2025-02-14"/>
  </r>
  <r>
    <s v="FB0413"/>
    <s v="Customer_953"/>
    <x v="0"/>
    <s v="Neutral"/>
    <n v="9"/>
    <n v="5"/>
    <s v="2025-04-13"/>
  </r>
  <r>
    <s v="FB0414"/>
    <s v="Customer_976"/>
    <x v="1"/>
    <s v="Neutral"/>
    <n v="4"/>
    <n v="5"/>
    <s v="2026-01-10"/>
  </r>
  <r>
    <s v="FB0415"/>
    <s v="Customer_285"/>
    <x v="0"/>
    <s v="Very Satisfied"/>
    <n v="6"/>
    <n v="4"/>
    <s v="2025-05-22"/>
  </r>
  <r>
    <s v="FB0416"/>
    <s v="Customer_66"/>
    <x v="1"/>
    <s v="Dissatisfied"/>
    <n v="10"/>
    <n v="2"/>
    <s v="2025-04-10"/>
  </r>
  <r>
    <s v="FB0417"/>
    <s v="Customer_102"/>
    <x v="3"/>
    <s v="Dissatisfied"/>
    <n v="8"/>
    <n v="4"/>
    <s v="2025-11-10"/>
  </r>
  <r>
    <s v="FB0418"/>
    <s v="Customer_67"/>
    <x v="0"/>
    <s v="Neutral"/>
    <n v="2"/>
    <n v="4"/>
    <s v="2026-04-13"/>
  </r>
  <r>
    <s v="FB0419"/>
    <s v="Customer_765"/>
    <x v="4"/>
    <s v="Dissatisfied"/>
    <n v="10"/>
    <n v="5"/>
    <s v="2025-03-23"/>
  </r>
  <r>
    <s v="FB0420"/>
    <s v="Customer_935"/>
    <x v="0"/>
    <s v="Very Satisfied"/>
    <n v="4"/>
    <n v="1"/>
    <s v="2025-11-23"/>
  </r>
  <r>
    <s v="FB0421"/>
    <s v="Customer_964"/>
    <x v="4"/>
    <s v="Satisfied"/>
    <n v="9"/>
    <n v="4"/>
    <s v="2026-04-19"/>
  </r>
  <r>
    <s v="FB0422"/>
    <s v="Customer_41"/>
    <x v="4"/>
    <s v="Dissatisfied"/>
    <n v="3"/>
    <n v="2"/>
    <s v="2026-01-16"/>
  </r>
  <r>
    <s v="FB0423"/>
    <s v="Customer_547"/>
    <x v="2"/>
    <s v="Dissatisfied"/>
    <n v="8"/>
    <n v="3"/>
    <s v="2025-11-01"/>
  </r>
  <r>
    <s v="FB0424"/>
    <s v="Customer_219"/>
    <x v="3"/>
    <s v="Neutral"/>
    <n v="8"/>
    <n v="4"/>
    <s v="2025-07-29"/>
  </r>
  <r>
    <s v="FB0425"/>
    <s v="Customer_781"/>
    <x v="2"/>
    <s v="Very Satisfied"/>
    <n v="7"/>
    <n v="5"/>
    <s v="2025-06-23"/>
  </r>
  <r>
    <s v="FB0426"/>
    <s v="Customer_693"/>
    <x v="3"/>
    <s v="Very Satisfied"/>
    <n v="1"/>
    <n v="1"/>
    <s v="2025-02-11"/>
  </r>
  <r>
    <s v="FB0427"/>
    <s v="Customer_630"/>
    <x v="0"/>
    <s v="Very Satisfied"/>
    <n v="1"/>
    <n v="4"/>
    <s v="2025-05-21"/>
  </r>
  <r>
    <s v="FB0428"/>
    <s v="Customer_298"/>
    <x v="1"/>
    <s v="Dissatisfied"/>
    <n v="3"/>
    <n v="4"/>
    <s v="2026-04-29"/>
  </r>
  <r>
    <s v="FB0429"/>
    <s v="Customer_294"/>
    <x v="1"/>
    <s v="Dissatisfied"/>
    <n v="2"/>
    <n v="4"/>
    <s v="2025-02-01"/>
  </r>
  <r>
    <s v="FB0430"/>
    <s v="Customer_538"/>
    <x v="1"/>
    <s v="Dissatisfied"/>
    <n v="1"/>
    <n v="5"/>
    <s v="2025-02-14"/>
  </r>
  <r>
    <s v="FB0431"/>
    <s v="Customer_286"/>
    <x v="0"/>
    <s v="Satisfied"/>
    <n v="7"/>
    <n v="5"/>
    <s v="2025-04-27"/>
  </r>
  <r>
    <s v="FB0432"/>
    <s v="Customer_855"/>
    <x v="2"/>
    <s v="Neutral"/>
    <n v="10"/>
    <n v="1"/>
    <s v="2025-06-14"/>
  </r>
  <r>
    <s v="FB0433"/>
    <s v="Customer_314"/>
    <x v="1"/>
    <s v="Neutral"/>
    <n v="5"/>
    <n v="5"/>
    <s v="2026-02-14"/>
  </r>
  <r>
    <s v="FB0434"/>
    <s v="Customer_824"/>
    <x v="4"/>
    <s v="Dissatisfied"/>
    <n v="9"/>
    <n v="1"/>
    <s v="2025-08-13"/>
  </r>
  <r>
    <s v="FB0435"/>
    <s v="Customer_755"/>
    <x v="1"/>
    <s v="Dissatisfied"/>
    <n v="10"/>
    <n v="3"/>
    <s v="2025-03-18"/>
  </r>
  <r>
    <s v="FB0436"/>
    <s v="Customer_708"/>
    <x v="4"/>
    <s v="Neutral"/>
    <n v="10"/>
    <n v="2"/>
    <s v="2025-07-16"/>
  </r>
  <r>
    <s v="FB0437"/>
    <s v="Customer_901"/>
    <x v="4"/>
    <s v="Neutral"/>
    <n v="4"/>
    <n v="1"/>
    <s v="2025-05-25"/>
  </r>
  <r>
    <s v="FB0438"/>
    <s v="Customer_466"/>
    <x v="1"/>
    <s v="Satisfied"/>
    <n v="7"/>
    <n v="3"/>
    <s v="2025-01-11"/>
  </r>
  <r>
    <s v="FB0439"/>
    <s v="Customer_920"/>
    <x v="1"/>
    <s v="Very Satisfied"/>
    <n v="2"/>
    <n v="4"/>
    <s v="2026-04-19"/>
  </r>
  <r>
    <s v="FB0440"/>
    <s v="Customer_686"/>
    <x v="0"/>
    <s v="Very Satisfied"/>
    <n v="7"/>
    <n v="1"/>
    <s v="2025-10-05"/>
  </r>
  <r>
    <s v="FB0441"/>
    <s v="Customer_590"/>
    <x v="1"/>
    <s v="Dissatisfied"/>
    <n v="8"/>
    <n v="4"/>
    <s v="2026-03-01"/>
  </r>
  <r>
    <s v="FB0442"/>
    <s v="Customer_748"/>
    <x v="2"/>
    <s v="Very Satisfied"/>
    <n v="7"/>
    <n v="4"/>
    <s v="2025-03-01"/>
  </r>
  <r>
    <s v="FB0443"/>
    <s v="Customer_690"/>
    <x v="4"/>
    <s v="Satisfied"/>
    <n v="6"/>
    <n v="3"/>
    <s v="2025-04-07"/>
  </r>
  <r>
    <s v="FB0444"/>
    <s v="Customer_703"/>
    <x v="4"/>
    <s v="Very Satisfied"/>
    <n v="3"/>
    <n v="1"/>
    <s v="2025-09-22"/>
  </r>
  <r>
    <s v="FB0445"/>
    <s v="Customer_581"/>
    <x v="3"/>
    <s v="Satisfied"/>
    <n v="6"/>
    <n v="2"/>
    <s v="2025-01-11"/>
  </r>
  <r>
    <s v="FB0446"/>
    <s v="Customer_33"/>
    <x v="3"/>
    <s v="Satisfied"/>
    <n v="9"/>
    <n v="5"/>
    <s v="2025-11-17"/>
  </r>
  <r>
    <s v="FB0447"/>
    <s v="Customer_631"/>
    <x v="1"/>
    <s v="Neutral"/>
    <n v="7"/>
    <n v="5"/>
    <s v="2026-01-30"/>
  </r>
  <r>
    <s v="FB0448"/>
    <s v="Customer_875"/>
    <x v="3"/>
    <s v="Neutral"/>
    <n v="2"/>
    <n v="4"/>
    <s v="2026-05-10"/>
  </r>
  <r>
    <s v="FB0449"/>
    <s v="Customer_958"/>
    <x v="1"/>
    <s v="Very Satisfied"/>
    <n v="3"/>
    <n v="1"/>
    <s v="2025-10-15"/>
  </r>
  <r>
    <s v="FB0450"/>
    <s v="Customer_722"/>
    <x v="0"/>
    <s v="Dissatisfied"/>
    <n v="9"/>
    <n v="2"/>
    <s v="2025-03-03"/>
  </r>
  <r>
    <s v="FB0451"/>
    <s v="Customer_674"/>
    <x v="1"/>
    <s v="Very Satisfied"/>
    <n v="7"/>
    <n v="3"/>
    <s v="2025-05-07"/>
  </r>
  <r>
    <s v="FB0452"/>
    <s v="Customer_957"/>
    <x v="2"/>
    <s v="Neutral"/>
    <n v="7"/>
    <n v="1"/>
    <s v="2025-03-25"/>
  </r>
  <r>
    <s v="FB0453"/>
    <s v="Customer_590"/>
    <x v="3"/>
    <s v="Very Satisfied"/>
    <n v="1"/>
    <n v="2"/>
    <s v="2026-02-09"/>
  </r>
  <r>
    <s v="FB0454"/>
    <s v="Customer_959"/>
    <x v="2"/>
    <s v="Satisfied"/>
    <n v="9"/>
    <n v="3"/>
    <s v="2025-04-06"/>
  </r>
  <r>
    <s v="FB0455"/>
    <s v="Customer_599"/>
    <x v="4"/>
    <s v="Neutral"/>
    <n v="8"/>
    <n v="5"/>
    <s v="2025-10-02"/>
  </r>
  <r>
    <s v="FB0456"/>
    <s v="Customer_444"/>
    <x v="1"/>
    <s v="Satisfied"/>
    <n v="2"/>
    <n v="2"/>
    <s v="2025-03-15"/>
  </r>
  <r>
    <s v="FB0457"/>
    <s v="Customer_731"/>
    <x v="4"/>
    <s v="Dissatisfied"/>
    <n v="1"/>
    <n v="3"/>
    <s v="2025-07-24"/>
  </r>
  <r>
    <s v="FB0458"/>
    <s v="Customer_834"/>
    <x v="2"/>
    <s v="Very Satisfied"/>
    <n v="8"/>
    <n v="1"/>
    <s v="2026-02-21"/>
  </r>
  <r>
    <s v="FB0459"/>
    <s v="Customer_859"/>
    <x v="1"/>
    <s v="Neutral"/>
    <n v="1"/>
    <n v="3"/>
    <s v="2025-05-29"/>
  </r>
  <r>
    <s v="FB0460"/>
    <s v="Customer_341"/>
    <x v="2"/>
    <s v="Very Satisfied"/>
    <n v="10"/>
    <n v="1"/>
    <s v="2025-03-04"/>
  </r>
  <r>
    <s v="FB0461"/>
    <s v="Customer_986"/>
    <x v="2"/>
    <s v="Neutral"/>
    <n v="3"/>
    <n v="1"/>
    <s v="2025-06-16"/>
  </r>
  <r>
    <s v="FB0462"/>
    <s v="Customer_311"/>
    <x v="1"/>
    <s v="Very Satisfied"/>
    <n v="2"/>
    <n v="5"/>
    <s v="2025-04-19"/>
  </r>
  <r>
    <s v="FB0463"/>
    <s v="Customer_763"/>
    <x v="3"/>
    <s v="Very Satisfied"/>
    <n v="4"/>
    <n v="5"/>
    <s v="2025-07-13"/>
  </r>
  <r>
    <s v="FB0464"/>
    <s v="Customer_150"/>
    <x v="0"/>
    <s v="Satisfied"/>
    <n v="3"/>
    <n v="4"/>
    <s v="2025-04-06"/>
  </r>
  <r>
    <s v="FB0465"/>
    <s v="Customer_942"/>
    <x v="1"/>
    <s v="Satisfied"/>
    <n v="9"/>
    <n v="5"/>
    <s v="2026-01-24"/>
  </r>
  <r>
    <s v="FB0466"/>
    <s v="Customer_256"/>
    <x v="2"/>
    <s v="Neutral"/>
    <n v="2"/>
    <n v="5"/>
    <s v="2025-01-02"/>
  </r>
  <r>
    <s v="FB0467"/>
    <s v="Customer_480"/>
    <x v="2"/>
    <s v="Satisfied"/>
    <n v="9"/>
    <n v="2"/>
    <s v="2025-12-11"/>
  </r>
  <r>
    <s v="FB0468"/>
    <s v="Customer_937"/>
    <x v="3"/>
    <s v="Satisfied"/>
    <n v="4"/>
    <n v="3"/>
    <s v="2025-06-20"/>
  </r>
  <r>
    <s v="FB0469"/>
    <s v="Customer_232"/>
    <x v="4"/>
    <s v="Very Satisfied"/>
    <n v="8"/>
    <n v="1"/>
    <s v="2025-07-20"/>
  </r>
  <r>
    <s v="FB0470"/>
    <s v="Customer_670"/>
    <x v="1"/>
    <s v="Neutral"/>
    <n v="1"/>
    <n v="2"/>
    <s v="2025-06-27"/>
  </r>
  <r>
    <s v="FB0471"/>
    <s v="Customer_478"/>
    <x v="3"/>
    <s v="Very Satisfied"/>
    <n v="6"/>
    <n v="2"/>
    <s v="2025-01-09"/>
  </r>
  <r>
    <s v="FB0472"/>
    <s v="Customer_809"/>
    <x v="0"/>
    <s v="Very Satisfied"/>
    <n v="10"/>
    <n v="2"/>
    <s v="2025-09-26"/>
  </r>
  <r>
    <s v="FB0473"/>
    <s v="Customer_519"/>
    <x v="0"/>
    <s v="Satisfied"/>
    <n v="7"/>
    <n v="5"/>
    <s v="2025-05-03"/>
  </r>
  <r>
    <s v="FB0474"/>
    <s v="Customer_776"/>
    <x v="0"/>
    <s v="Very Satisfied"/>
    <n v="9"/>
    <n v="4"/>
    <s v="2025-11-25"/>
  </r>
  <r>
    <s v="FB0475"/>
    <s v="Customer_247"/>
    <x v="2"/>
    <s v="Neutral"/>
    <n v="2"/>
    <n v="4"/>
    <s v="2025-03-12"/>
  </r>
  <r>
    <s v="FB0476"/>
    <s v="Customer_983"/>
    <x v="1"/>
    <s v="Dissatisfied"/>
    <n v="5"/>
    <n v="3"/>
    <s v="2025-02-09"/>
  </r>
  <r>
    <s v="FB0477"/>
    <s v="Customer_651"/>
    <x v="1"/>
    <s v="Very Satisfied"/>
    <n v="7"/>
    <n v="4"/>
    <s v="2025-08-12"/>
  </r>
  <r>
    <s v="FB0478"/>
    <s v="Customer_644"/>
    <x v="3"/>
    <s v="Neutral"/>
    <n v="3"/>
    <n v="3"/>
    <s v="2025-08-21"/>
  </r>
  <r>
    <s v="FB0479"/>
    <s v="Customer_468"/>
    <x v="0"/>
    <s v="Very Satisfied"/>
    <n v="1"/>
    <n v="1"/>
    <s v="2025-11-18"/>
  </r>
  <r>
    <s v="FB0480"/>
    <s v="Customer_704"/>
    <x v="0"/>
    <s v="Dissatisfied"/>
    <n v="3"/>
    <n v="2"/>
    <s v="2026-02-12"/>
  </r>
  <r>
    <s v="FB0481"/>
    <s v="Customer_347"/>
    <x v="1"/>
    <s v="Satisfied"/>
    <n v="9"/>
    <n v="1"/>
    <s v="2025-06-29"/>
  </r>
  <r>
    <s v="FB0482"/>
    <s v="Customer_644"/>
    <x v="1"/>
    <s v="Neutral"/>
    <n v="10"/>
    <n v="3"/>
    <s v="2026-04-01"/>
  </r>
  <r>
    <s v="FB0483"/>
    <s v="Customer_393"/>
    <x v="3"/>
    <s v="Dissatisfied"/>
    <n v="4"/>
    <n v="2"/>
    <s v="2025-02-18"/>
  </r>
  <r>
    <s v="FB0484"/>
    <s v="Customer_155"/>
    <x v="2"/>
    <s v="Dissatisfied"/>
    <n v="5"/>
    <n v="1"/>
    <s v="2026-01-13"/>
  </r>
  <r>
    <s v="FB0485"/>
    <s v="Customer_412"/>
    <x v="1"/>
    <s v="Neutral"/>
    <n v="2"/>
    <n v="4"/>
    <s v="2025-05-29"/>
  </r>
  <r>
    <s v="FB0486"/>
    <s v="Customer_657"/>
    <x v="4"/>
    <s v="Satisfied"/>
    <n v="4"/>
    <n v="5"/>
    <s v="2026-01-24"/>
  </r>
  <r>
    <s v="FB0487"/>
    <s v="Customer_642"/>
    <x v="4"/>
    <s v="Very Satisfied"/>
    <n v="7"/>
    <n v="2"/>
    <s v="2026-02-08"/>
  </r>
  <r>
    <s v="FB0488"/>
    <s v="Customer_27"/>
    <x v="4"/>
    <s v="Satisfied"/>
    <n v="10"/>
    <n v="1"/>
    <s v="2025-01-18"/>
  </r>
  <r>
    <s v="FB0489"/>
    <s v="Customer_269"/>
    <x v="0"/>
    <s v="Very Satisfied"/>
    <n v="8"/>
    <n v="5"/>
    <s v="2025-03-04"/>
  </r>
  <r>
    <s v="FB0490"/>
    <s v="Customer_332"/>
    <x v="3"/>
    <s v="Very Satisfied"/>
    <n v="5"/>
    <n v="4"/>
    <s v="2025-07-30"/>
  </r>
  <r>
    <s v="FB0491"/>
    <s v="Customer_638"/>
    <x v="1"/>
    <s v="Neutral"/>
    <n v="4"/>
    <n v="5"/>
    <s v="2025-08-19"/>
  </r>
  <r>
    <s v="FB0492"/>
    <s v="Customer_527"/>
    <x v="0"/>
    <s v="Satisfied"/>
    <n v="10"/>
    <n v="2"/>
    <s v="2025-01-22"/>
  </r>
  <r>
    <s v="FB0493"/>
    <s v="Customer_101"/>
    <x v="0"/>
    <s v="Neutral"/>
    <n v="3"/>
    <n v="5"/>
    <s v="2025-12-20"/>
  </r>
  <r>
    <s v="FB0494"/>
    <s v="Customer_546"/>
    <x v="0"/>
    <s v="Neutral"/>
    <n v="9"/>
    <n v="1"/>
    <s v="2025-03-09"/>
  </r>
  <r>
    <s v="FB0495"/>
    <s v="Customer_668"/>
    <x v="1"/>
    <s v="Neutral"/>
    <n v="7"/>
    <n v="4"/>
    <s v="2025-08-10"/>
  </r>
  <r>
    <s v="FB0496"/>
    <s v="Customer_527"/>
    <x v="4"/>
    <s v="Neutral"/>
    <n v="6"/>
    <n v="1"/>
    <s v="2025-01-29"/>
  </r>
  <r>
    <s v="FB0497"/>
    <s v="Customer_628"/>
    <x v="0"/>
    <s v="Dissatisfied"/>
    <n v="9"/>
    <n v="5"/>
    <s v="2026-01-06"/>
  </r>
  <r>
    <s v="FB0498"/>
    <s v="Customer_681"/>
    <x v="3"/>
    <s v="Neutral"/>
    <n v="9"/>
    <n v="4"/>
    <s v="2025-01-19"/>
  </r>
  <r>
    <s v="FB0499"/>
    <s v="Customer_195"/>
    <x v="0"/>
    <s v="Satisfied"/>
    <n v="5"/>
    <n v="5"/>
    <s v="2025-03-13"/>
  </r>
  <r>
    <s v="FB0500"/>
    <s v="Customer_370"/>
    <x v="1"/>
    <s v="Dissatisfied"/>
    <n v="6"/>
    <n v="1"/>
    <s v="2025-12-2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MP001"/>
    <x v="0"/>
    <n v="366895"/>
    <n v="64"/>
    <n v="32"/>
    <n v="50"/>
    <s v="2025-07"/>
  </r>
  <r>
    <s v="CMP002"/>
    <x v="0"/>
    <n v="473132"/>
    <n v="271"/>
    <n v="34"/>
    <n v="12.55"/>
    <s v="2026-01"/>
  </r>
  <r>
    <s v="CMP003"/>
    <x v="1"/>
    <n v="473103"/>
    <n v="124"/>
    <n v="26"/>
    <n v="20.97"/>
    <s v="2026-01"/>
  </r>
  <r>
    <s v="CMP004"/>
    <x v="1"/>
    <n v="216500"/>
    <n v="387"/>
    <n v="29"/>
    <n v="7.49"/>
    <s v="2025-12"/>
  </r>
  <r>
    <s v="CMP005"/>
    <x v="2"/>
    <n v="348579"/>
    <n v="97"/>
    <n v="33"/>
    <n v="34.020000000000003"/>
    <s v="2026-05"/>
  </r>
  <r>
    <s v="CMP006"/>
    <x v="1"/>
    <n v="180502"/>
    <n v="451"/>
    <n v="112"/>
    <n v="24.83"/>
    <s v="2025-03"/>
  </r>
  <r>
    <s v="CMP007"/>
    <x v="3"/>
    <n v="169432"/>
    <n v="390"/>
    <n v="85"/>
    <n v="21.79"/>
    <s v="2025-11"/>
  </r>
  <r>
    <s v="CMP008"/>
    <x v="2"/>
    <n v="85840"/>
    <n v="403"/>
    <n v="166"/>
    <n v="41.19"/>
    <s v="2025-03"/>
  </r>
  <r>
    <s v="CMP009"/>
    <x v="3"/>
    <n v="358171"/>
    <n v="373"/>
    <n v="152"/>
    <n v="40.75"/>
    <s v="2025-06"/>
  </r>
  <r>
    <s v="CMP010"/>
    <x v="1"/>
    <n v="407142"/>
    <n v="440"/>
    <n v="12"/>
    <n v="2.73"/>
    <s v="2026-01"/>
  </r>
  <r>
    <s v="CMP011"/>
    <x v="2"/>
    <n v="353639"/>
    <n v="59"/>
    <n v="15"/>
    <n v="25.42"/>
    <s v="2025-06"/>
  </r>
  <r>
    <s v="CMP012"/>
    <x v="4"/>
    <n v="479399"/>
    <n v="318"/>
    <n v="87"/>
    <n v="27.36"/>
    <s v="2025-05"/>
  </r>
  <r>
    <s v="CMP013"/>
    <x v="4"/>
    <n v="145361"/>
    <n v="248"/>
    <n v="73"/>
    <n v="29.44"/>
    <s v="2025-01"/>
  </r>
  <r>
    <s v="CMP014"/>
    <x v="3"/>
    <n v="157457"/>
    <n v="310"/>
    <n v="50"/>
    <n v="16.13"/>
    <s v="2025-11"/>
  </r>
  <r>
    <s v="CMP015"/>
    <x v="4"/>
    <n v="322200"/>
    <n v="273"/>
    <n v="96"/>
    <n v="35.159999999999997"/>
    <s v="2025-07"/>
  </r>
  <r>
    <s v="CMP016"/>
    <x v="0"/>
    <n v="232282"/>
    <n v="416"/>
    <n v="58"/>
    <n v="13.94"/>
    <s v="2025-10"/>
  </r>
  <r>
    <s v="CMP017"/>
    <x v="4"/>
    <n v="402869"/>
    <n v="370"/>
    <n v="43"/>
    <n v="11.62"/>
    <s v="2025-07"/>
  </r>
  <r>
    <s v="CMP018"/>
    <x v="2"/>
    <n v="231746"/>
    <n v="86"/>
    <n v="42"/>
    <n v="48.84"/>
    <s v="2026-01"/>
  </r>
  <r>
    <s v="CMP019"/>
    <x v="2"/>
    <n v="345120"/>
    <n v="246"/>
    <n v="78"/>
    <n v="31.71"/>
    <s v="2025-04"/>
  </r>
  <r>
    <s v="CMP020"/>
    <x v="4"/>
    <n v="339600"/>
    <n v="231"/>
    <n v="62"/>
    <n v="26.84"/>
    <s v="2025-03"/>
  </r>
  <r>
    <s v="CMP021"/>
    <x v="2"/>
    <n v="310516"/>
    <n v="67"/>
    <n v="21"/>
    <n v="31.34"/>
    <s v="2025-05"/>
  </r>
  <r>
    <s v="CMP022"/>
    <x v="2"/>
    <n v="275599"/>
    <n v="362"/>
    <n v="68"/>
    <n v="18.78"/>
    <s v="2025-10"/>
  </r>
  <r>
    <s v="CMP023"/>
    <x v="3"/>
    <n v="201402"/>
    <n v="262"/>
    <n v="75"/>
    <n v="28.63"/>
    <s v="2025-06"/>
  </r>
  <r>
    <s v="CMP024"/>
    <x v="3"/>
    <n v="438427"/>
    <n v="401"/>
    <n v="122"/>
    <n v="30.42"/>
    <s v="2026-03"/>
  </r>
  <r>
    <s v="CMP025"/>
    <x v="1"/>
    <n v="174341"/>
    <n v="255"/>
    <n v="82"/>
    <n v="32.159999999999997"/>
    <s v="2025-12"/>
  </r>
  <r>
    <s v="CMP026"/>
    <x v="1"/>
    <n v="479565"/>
    <n v="112"/>
    <n v="19"/>
    <n v="16.96"/>
    <s v="2026-02"/>
  </r>
  <r>
    <s v="CMP027"/>
    <x v="2"/>
    <n v="240525"/>
    <n v="203"/>
    <n v="33"/>
    <n v="16.260000000000002"/>
    <s v="2025-03"/>
  </r>
  <r>
    <s v="CMP028"/>
    <x v="3"/>
    <n v="459106"/>
    <n v="83"/>
    <n v="17"/>
    <n v="20.48"/>
    <s v="2025-09"/>
  </r>
  <r>
    <s v="CMP029"/>
    <x v="3"/>
    <n v="80601"/>
    <n v="113"/>
    <n v="23"/>
    <n v="20.350000000000001"/>
    <s v="2025-01"/>
  </r>
  <r>
    <s v="CMP030"/>
    <x v="2"/>
    <n v="217031"/>
    <n v="252"/>
    <n v="25"/>
    <n v="9.92"/>
    <s v="2025-03"/>
  </r>
  <r>
    <s v="CMP031"/>
    <x v="3"/>
    <n v="444064"/>
    <n v="106"/>
    <n v="50"/>
    <n v="47.17"/>
    <s v="2025-01"/>
  </r>
  <r>
    <s v="CMP032"/>
    <x v="2"/>
    <n v="439237"/>
    <n v="86"/>
    <n v="22"/>
    <n v="25.58"/>
    <s v="2026-02"/>
  </r>
  <r>
    <s v="CMP033"/>
    <x v="4"/>
    <n v="464208"/>
    <n v="411"/>
    <n v="41"/>
    <n v="9.98"/>
    <s v="2025-10"/>
  </r>
  <r>
    <s v="CMP034"/>
    <x v="2"/>
    <n v="483177"/>
    <n v="52"/>
    <n v="20"/>
    <n v="38.46"/>
    <s v="2025-01"/>
  </r>
  <r>
    <s v="CMP035"/>
    <x v="2"/>
    <n v="186716"/>
    <n v="177"/>
    <n v="13"/>
    <n v="7.34"/>
    <s v="2025-12"/>
  </r>
  <r>
    <s v="CMP036"/>
    <x v="4"/>
    <n v="318593"/>
    <n v="69"/>
    <n v="14"/>
    <n v="20.29"/>
    <s v="2025-10"/>
  </r>
  <r>
    <s v="CMP037"/>
    <x v="2"/>
    <n v="88352"/>
    <n v="296"/>
    <n v="55"/>
    <n v="18.579999999999998"/>
    <s v="2026-01"/>
  </r>
  <r>
    <s v="CMP038"/>
    <x v="0"/>
    <n v="167595"/>
    <n v="219"/>
    <n v="95"/>
    <n v="43.38"/>
    <s v="2025-01"/>
  </r>
  <r>
    <s v="CMP039"/>
    <x v="3"/>
    <n v="157385"/>
    <n v="423"/>
    <n v="67"/>
    <n v="15.84"/>
    <s v="2025-02"/>
  </r>
  <r>
    <s v="CMP040"/>
    <x v="0"/>
    <n v="177394"/>
    <n v="57"/>
    <n v="25"/>
    <n v="43.86"/>
    <s v="2026-02"/>
  </r>
  <r>
    <s v="CMP041"/>
    <x v="1"/>
    <n v="199658"/>
    <n v="63"/>
    <n v="13"/>
    <n v="20.63"/>
    <s v="2026-03"/>
  </r>
  <r>
    <s v="CMP042"/>
    <x v="0"/>
    <n v="234950"/>
    <n v="492"/>
    <n v="29"/>
    <n v="5.89"/>
    <s v="2026-04"/>
  </r>
  <r>
    <s v="CMP043"/>
    <x v="1"/>
    <n v="63446"/>
    <n v="369"/>
    <n v="107"/>
    <n v="29"/>
    <s v="2025-05"/>
  </r>
  <r>
    <s v="CMP044"/>
    <x v="0"/>
    <n v="493995"/>
    <n v="269"/>
    <n v="129"/>
    <n v="47.96"/>
    <s v="2026-02"/>
  </r>
  <r>
    <s v="CMP045"/>
    <x v="2"/>
    <n v="53121"/>
    <n v="56"/>
    <n v="21"/>
    <n v="37.5"/>
    <s v="2025-05"/>
  </r>
  <r>
    <s v="CMP046"/>
    <x v="4"/>
    <n v="458468"/>
    <n v="465"/>
    <n v="98"/>
    <n v="21.08"/>
    <s v="2025-08"/>
  </r>
  <r>
    <s v="CMP047"/>
    <x v="4"/>
    <n v="376658"/>
    <n v="276"/>
    <n v="51"/>
    <n v="18.48"/>
    <s v="2025-06"/>
  </r>
  <r>
    <s v="CMP048"/>
    <x v="0"/>
    <n v="280489"/>
    <n v="78"/>
    <n v="34"/>
    <n v="43.59"/>
    <s v="2025-03"/>
  </r>
  <r>
    <s v="CMP049"/>
    <x v="0"/>
    <n v="310519"/>
    <n v="73"/>
    <n v="34"/>
    <n v="46.58"/>
    <s v="2025-11"/>
  </r>
  <r>
    <s v="CMP050"/>
    <x v="2"/>
    <n v="314266"/>
    <n v="84"/>
    <n v="11"/>
    <n v="13.1"/>
    <s v="2025-11"/>
  </r>
  <r>
    <s v="CMP051"/>
    <x v="3"/>
    <n v="402308"/>
    <n v="492"/>
    <n v="173"/>
    <n v="35.159999999999997"/>
    <s v="2025-03"/>
  </r>
  <r>
    <s v="CMP052"/>
    <x v="3"/>
    <n v="495758"/>
    <n v="411"/>
    <n v="164"/>
    <n v="39.9"/>
    <s v="2026-05"/>
  </r>
  <r>
    <s v="CMP053"/>
    <x v="0"/>
    <n v="401502"/>
    <n v="405"/>
    <n v="54"/>
    <n v="13.33"/>
    <s v="2025-04"/>
  </r>
  <r>
    <s v="CMP054"/>
    <x v="0"/>
    <n v="281290"/>
    <n v="302"/>
    <n v="125"/>
    <n v="41.39"/>
    <s v="2026-01"/>
  </r>
  <r>
    <s v="CMP055"/>
    <x v="3"/>
    <n v="499139"/>
    <n v="462"/>
    <n v="157"/>
    <n v="33.979999999999997"/>
    <s v="2025-02"/>
  </r>
  <r>
    <s v="CMP056"/>
    <x v="2"/>
    <n v="299730"/>
    <n v="109"/>
    <n v="10"/>
    <n v="9.17"/>
    <s v="2026-01"/>
  </r>
  <r>
    <s v="CMP057"/>
    <x v="2"/>
    <n v="415251"/>
    <n v="282"/>
    <n v="59"/>
    <n v="20.92"/>
    <s v="2025-06"/>
  </r>
  <r>
    <s v="CMP058"/>
    <x v="1"/>
    <n v="219057"/>
    <n v="446"/>
    <n v="133"/>
    <n v="29.82"/>
    <s v="2026-04"/>
  </r>
  <r>
    <s v="CMP059"/>
    <x v="0"/>
    <n v="99970"/>
    <n v="455"/>
    <n v="36"/>
    <n v="7.91"/>
    <s v="2026-02"/>
  </r>
  <r>
    <s v="CMP060"/>
    <x v="3"/>
    <n v="327088"/>
    <n v="107"/>
    <n v="34"/>
    <n v="31.78"/>
    <s v="2026-02"/>
  </r>
  <r>
    <s v="CMP061"/>
    <x v="3"/>
    <n v="153377"/>
    <n v="451"/>
    <n v="126"/>
    <n v="27.94"/>
    <s v="2025-01"/>
  </r>
  <r>
    <s v="CMP062"/>
    <x v="4"/>
    <n v="441899"/>
    <n v="220"/>
    <n v="71"/>
    <n v="32.270000000000003"/>
    <s v="2025-07"/>
  </r>
  <r>
    <s v="CMP063"/>
    <x v="3"/>
    <n v="494354"/>
    <n v="194"/>
    <n v="71"/>
    <n v="36.6"/>
    <s v="2025-08"/>
  </r>
  <r>
    <s v="CMP064"/>
    <x v="1"/>
    <n v="409035"/>
    <n v="343"/>
    <n v="20"/>
    <n v="5.83"/>
    <s v="2026-04"/>
  </r>
  <r>
    <s v="CMP065"/>
    <x v="3"/>
    <n v="336979"/>
    <n v="399"/>
    <n v="17"/>
    <n v="4.26"/>
    <s v="2025-03"/>
  </r>
  <r>
    <s v="CMP066"/>
    <x v="4"/>
    <n v="463739"/>
    <n v="437"/>
    <n v="53"/>
    <n v="12.13"/>
    <s v="2026-02"/>
  </r>
  <r>
    <s v="CMP067"/>
    <x v="2"/>
    <n v="133874"/>
    <n v="173"/>
    <n v="57"/>
    <n v="32.950000000000003"/>
    <s v="2025-07"/>
  </r>
  <r>
    <s v="CMP068"/>
    <x v="2"/>
    <n v="466643"/>
    <n v="340"/>
    <n v="88"/>
    <n v="25.88"/>
    <s v="2025-06"/>
  </r>
  <r>
    <s v="CMP069"/>
    <x v="0"/>
    <n v="111348"/>
    <n v="165"/>
    <n v="47"/>
    <n v="28.48"/>
    <s v="2025-06"/>
  </r>
  <r>
    <s v="CMP070"/>
    <x v="0"/>
    <n v="154928"/>
    <n v="472"/>
    <n v="36"/>
    <n v="7.63"/>
    <s v="2025-08"/>
  </r>
  <r>
    <s v="CMP071"/>
    <x v="0"/>
    <n v="399287"/>
    <n v="344"/>
    <n v="113"/>
    <n v="32.85"/>
    <s v="2025-04"/>
  </r>
  <r>
    <s v="CMP072"/>
    <x v="3"/>
    <n v="363296"/>
    <n v="176"/>
    <n v="52"/>
    <n v="29.55"/>
    <s v="2025-10"/>
  </r>
  <r>
    <s v="CMP073"/>
    <x v="4"/>
    <n v="319252"/>
    <n v="66"/>
    <n v="29"/>
    <n v="43.94"/>
    <s v="2025-11"/>
  </r>
  <r>
    <s v="CMP074"/>
    <x v="0"/>
    <n v="262725"/>
    <n v="93"/>
    <n v="38"/>
    <n v="40.86"/>
    <s v="2026-05"/>
  </r>
  <r>
    <s v="CMP075"/>
    <x v="2"/>
    <n v="164609"/>
    <n v="87"/>
    <n v="17"/>
    <n v="19.54"/>
    <s v="2026-02"/>
  </r>
  <r>
    <s v="CMP076"/>
    <x v="4"/>
    <n v="132794"/>
    <n v="113"/>
    <n v="29"/>
    <n v="25.66"/>
    <s v="2026-02"/>
  </r>
  <r>
    <s v="CMP077"/>
    <x v="0"/>
    <n v="345992"/>
    <n v="73"/>
    <n v="26"/>
    <n v="35.619999999999997"/>
    <s v="2025-02"/>
  </r>
  <r>
    <s v="CMP078"/>
    <x v="0"/>
    <n v="177842"/>
    <n v="280"/>
    <n v="59"/>
    <n v="21.07"/>
    <s v="2025-05"/>
  </r>
  <r>
    <s v="CMP079"/>
    <x v="1"/>
    <n v="439684"/>
    <n v="194"/>
    <n v="91"/>
    <n v="46.91"/>
    <s v="2025-06"/>
  </r>
  <r>
    <s v="CMP080"/>
    <x v="4"/>
    <n v="217802"/>
    <n v="340"/>
    <n v="14"/>
    <n v="4.12"/>
    <s v="2026-04"/>
  </r>
  <r>
    <s v="CMP081"/>
    <x v="1"/>
    <n v="94044"/>
    <n v="273"/>
    <n v="86"/>
    <n v="31.5"/>
    <s v="2026-02"/>
  </r>
  <r>
    <s v="CMP082"/>
    <x v="4"/>
    <n v="207836"/>
    <n v="161"/>
    <n v="27"/>
    <n v="16.77"/>
    <s v="2025-06"/>
  </r>
  <r>
    <s v="CMP083"/>
    <x v="1"/>
    <n v="312134"/>
    <n v="312"/>
    <n v="26"/>
    <n v="8.33"/>
    <s v="2026-01"/>
  </r>
  <r>
    <s v="CMP084"/>
    <x v="0"/>
    <n v="254055"/>
    <n v="72"/>
    <n v="17"/>
    <n v="23.61"/>
    <s v="2025-01"/>
  </r>
  <r>
    <s v="CMP085"/>
    <x v="1"/>
    <n v="446238"/>
    <n v="483"/>
    <n v="105"/>
    <n v="21.74"/>
    <s v="2026-02"/>
  </r>
  <r>
    <s v="CMP086"/>
    <x v="1"/>
    <n v="392218"/>
    <n v="127"/>
    <n v="6"/>
    <n v="4.72"/>
    <s v="2025-11"/>
  </r>
  <r>
    <s v="CMP087"/>
    <x v="1"/>
    <n v="211508"/>
    <n v="461"/>
    <n v="174"/>
    <n v="37.74"/>
    <s v="2025-06"/>
  </r>
  <r>
    <s v="CMP088"/>
    <x v="1"/>
    <n v="149473"/>
    <n v="250"/>
    <n v="19"/>
    <n v="7.6"/>
    <s v="2025-09"/>
  </r>
  <r>
    <s v="CMP089"/>
    <x v="3"/>
    <n v="137520"/>
    <n v="236"/>
    <n v="47"/>
    <n v="19.920000000000002"/>
    <s v="2025-10"/>
  </r>
  <r>
    <s v="CMP090"/>
    <x v="4"/>
    <n v="305873"/>
    <n v="342"/>
    <n v="40"/>
    <n v="11.7"/>
    <s v="2025-01"/>
  </r>
  <r>
    <s v="CMP091"/>
    <x v="1"/>
    <n v="202449"/>
    <n v="232"/>
    <n v="59"/>
    <n v="25.43"/>
    <s v="2025-05"/>
  </r>
  <r>
    <s v="CMP092"/>
    <x v="3"/>
    <n v="75891"/>
    <n v="74"/>
    <n v="5"/>
    <n v="6.76"/>
    <s v="2025-05"/>
  </r>
  <r>
    <s v="CMP093"/>
    <x v="2"/>
    <n v="131162"/>
    <n v="359"/>
    <n v="27"/>
    <n v="7.52"/>
    <s v="2025-08"/>
  </r>
  <r>
    <s v="CMP094"/>
    <x v="3"/>
    <n v="184652"/>
    <n v="165"/>
    <n v="40"/>
    <n v="24.24"/>
    <s v="2025-04"/>
  </r>
  <r>
    <s v="CMP095"/>
    <x v="1"/>
    <n v="314767"/>
    <n v="297"/>
    <n v="78"/>
    <n v="26.26"/>
    <s v="2025-06"/>
  </r>
  <r>
    <s v="CMP096"/>
    <x v="4"/>
    <n v="451107"/>
    <n v="323"/>
    <n v="28"/>
    <n v="8.67"/>
    <s v="2025-07"/>
  </r>
  <r>
    <s v="CMP097"/>
    <x v="4"/>
    <n v="406106"/>
    <n v="471"/>
    <n v="41"/>
    <n v="8.6999999999999993"/>
    <s v="2025-05"/>
  </r>
  <r>
    <s v="CMP098"/>
    <x v="1"/>
    <n v="414618"/>
    <n v="246"/>
    <n v="95"/>
    <n v="38.619999999999997"/>
    <s v="2025-11"/>
  </r>
  <r>
    <s v="CMP099"/>
    <x v="4"/>
    <n v="390484"/>
    <n v="61"/>
    <n v="21"/>
    <n v="34.43"/>
    <s v="2026-05"/>
  </r>
  <r>
    <s v="CMP100"/>
    <x v="3"/>
    <n v="352371"/>
    <n v="499"/>
    <n v="78"/>
    <n v="15.63"/>
    <s v="2025-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CBDCE-6214-408B-8F88-81EA5CA83BD0}" name="PivotTable6" cacheId="36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0:C66" firstHeaderRow="0" firstDataRow="1" firstDataCol="1"/>
  <pivotFields count="7">
    <pivotField compact="0" outline="0" showAll="0"/>
    <pivotField axis="axisRow" compact="0" outline="0" showAll="0">
      <items count="6">
        <item x="0"/>
        <item x="1"/>
        <item x="2"/>
        <item x="3"/>
        <item x="4"/>
        <item t="default"/>
      </items>
    </pivotField>
    <pivotField compact="0" outline="0" showAll="0"/>
    <pivotField dataField="1" compact="0" outline="0" showAll="0"/>
    <pivotField dataField="1" compact="0" outline="0" showAll="0"/>
    <pivotField compact="0" outline="0" showAll="0"/>
    <pivotField compact="0" outline="0" showAll="0"/>
  </pivotFields>
  <rowFields count="1">
    <field x="1"/>
  </rowFields>
  <rowItems count="6">
    <i>
      <x/>
    </i>
    <i>
      <x v="1"/>
    </i>
    <i>
      <x v="2"/>
    </i>
    <i>
      <x v="3"/>
    </i>
    <i>
      <x v="4"/>
    </i>
    <i t="grand">
      <x/>
    </i>
  </rowItems>
  <colFields count="1">
    <field x="-2"/>
  </colFields>
  <colItems count="2">
    <i>
      <x/>
    </i>
    <i i="1">
      <x v="1"/>
    </i>
  </colItems>
  <dataFields count="2">
    <dataField name="Sum of Leads_Generated" fld="3" baseField="0" baseItem="0"/>
    <dataField name="Sum of Conversions" fld="4"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F3545-A46D-4341-8A56-3200DB20B222}" name="PivotTable5" cacheId="3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7:B53" firstHeaderRow="1" firstDataRow="1" firstDataCol="1"/>
  <pivotFields count="7">
    <pivotField dataField="1" compact="0" outline="0" showAll="0"/>
    <pivotField compact="0" outline="0" showAll="0"/>
    <pivotField axis="axisRow" compact="0" outline="0" showAll="0">
      <items count="6">
        <item x="3"/>
        <item x="2"/>
        <item x="0"/>
        <item x="4"/>
        <item x="1"/>
        <item t="default"/>
      </items>
    </pivotField>
    <pivotField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dataFields count="1">
    <dataField name="Count of Feedback_ID" fld="0" subtotal="count" baseField="0" baseItem="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2" count="1" selected="0">
            <x v="0"/>
          </reference>
        </references>
      </pivotArea>
    </chartFormat>
    <chartFormat chart="4" format="27">
      <pivotArea type="data" outline="0" fieldPosition="0">
        <references count="2">
          <reference field="4294967294" count="1" selected="0">
            <x v="0"/>
          </reference>
          <reference field="2" count="1" selected="0">
            <x v="1"/>
          </reference>
        </references>
      </pivotArea>
    </chartFormat>
    <chartFormat chart="4" format="28">
      <pivotArea type="data" outline="0" fieldPosition="0">
        <references count="2">
          <reference field="4294967294" count="1" selected="0">
            <x v="0"/>
          </reference>
          <reference field="2" count="1" selected="0">
            <x v="2"/>
          </reference>
        </references>
      </pivotArea>
    </chartFormat>
    <chartFormat chart="4" format="29">
      <pivotArea type="data" outline="0" fieldPosition="0">
        <references count="2">
          <reference field="4294967294" count="1" selected="0">
            <x v="0"/>
          </reference>
          <reference field="2" count="1" selected="0">
            <x v="3"/>
          </reference>
        </references>
      </pivotArea>
    </chartFormat>
    <chartFormat chart="4" format="3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583260-971D-44CC-9EE7-D1B96BF1D67A}" name="PivotTable4"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5:B41" firstHeaderRow="1" firstDataRow="1" firstDataCol="1"/>
  <pivotFields count="9">
    <pivotField compact="0" outline="0" showAll="0"/>
    <pivotField compact="0" outline="0" showAll="0"/>
    <pivotField compact="0" outline="0" showAll="0">
      <items count="7">
        <item x="4"/>
        <item x="0"/>
        <item x="1"/>
        <item x="2"/>
        <item x="5"/>
        <item x="3"/>
        <item t="default"/>
      </items>
    </pivotField>
    <pivotField compact="0" outline="0" showAll="0"/>
    <pivotField axis="axisRow" compact="0" outline="0" showAll="0" sortType="descending">
      <items count="6">
        <item x="1"/>
        <item x="4"/>
        <item x="3"/>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s>
  <rowFields count="1">
    <field x="4"/>
  </rowFields>
  <rowItems count="6">
    <i>
      <x v="3"/>
    </i>
    <i>
      <x/>
    </i>
    <i>
      <x v="1"/>
    </i>
    <i>
      <x v="2"/>
    </i>
    <i>
      <x v="4"/>
    </i>
    <i t="grand">
      <x/>
    </i>
  </rowItems>
  <colItems count="1">
    <i/>
  </colItems>
  <dataFields count="1">
    <dataField name="Sum of Revenue" fld="7"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B5F59-0C02-45EC-871E-7D7FD8379E58}" name="PivotTable3"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5:B31" firstHeaderRow="1" firstDataRow="1" firstDataCol="1"/>
  <pivotFields count="9">
    <pivotField compact="0" outline="0" showAll="0"/>
    <pivotField compact="0" outline="0" showAll="0"/>
    <pivotField compact="0" outline="0" showAll="0">
      <items count="7">
        <item x="4"/>
        <item x="0"/>
        <item x="1"/>
        <item x="2"/>
        <item x="5"/>
        <item x="3"/>
        <item t="default"/>
      </items>
    </pivotField>
    <pivotField axis="axisRow" compact="0" outline="0" showAll="0">
      <items count="6">
        <item x="1"/>
        <item x="3"/>
        <item x="2"/>
        <item x="4"/>
        <item x="0"/>
        <item t="default"/>
      </items>
    </pivotField>
    <pivotField compact="0" outline="0" showAll="0"/>
    <pivotField compact="0" outline="0" showAll="0"/>
    <pivotField compact="0" outline="0" showAll="0"/>
    <pivotField dataField="1" compact="0" outline="0" showAll="0"/>
    <pivotField compact="0" outline="0" showAll="0"/>
  </pivotFields>
  <rowFields count="1">
    <field x="3"/>
  </rowFields>
  <rowItems count="6">
    <i>
      <x/>
    </i>
    <i>
      <x v="1"/>
    </i>
    <i>
      <x v="2"/>
    </i>
    <i>
      <x v="3"/>
    </i>
    <i>
      <x v="4"/>
    </i>
    <i t="grand">
      <x/>
    </i>
  </rowItems>
  <colItems count="1">
    <i/>
  </colItems>
  <dataFields count="1">
    <dataField name="Sum of Revenue" fld="7" baseField="0" baseItem="0"/>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DA7EDC-1568-4DD3-85D5-78E01C16EB94}" name="PivotTable2"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B22" firstHeaderRow="1" firstDataRow="1" firstDataCol="1"/>
  <pivotFields count="9">
    <pivotField dataField="1" compact="0" outline="0" showAll="0"/>
    <pivotField compact="0" outline="0" showAll="0"/>
    <pivotField compact="0" outline="0" showAll="0">
      <items count="7">
        <item x="4"/>
        <item x="0"/>
        <item x="1"/>
        <item x="2"/>
        <item x="5"/>
        <item x="3"/>
        <item t="default"/>
      </items>
    </pivotField>
    <pivotField compact="0" outline="0" showAll="0"/>
    <pivotField compact="0" outline="0" showAll="0"/>
    <pivotField compact="0" outline="0" showAll="0"/>
    <pivotField axis="axisRow" compact="0" outline="0" showAll="0">
      <items count="7">
        <item x="4"/>
        <item x="1"/>
        <item x="0"/>
        <item x="2"/>
        <item x="5"/>
        <item x="3"/>
        <item t="default"/>
      </items>
    </pivotField>
    <pivotField compact="0" outline="0" showAll="0"/>
    <pivotField compact="0" outline="0" showAll="0"/>
  </pivotFields>
  <rowFields count="1">
    <field x="6"/>
  </rowFields>
  <rowItems count="7">
    <i>
      <x/>
    </i>
    <i>
      <x v="1"/>
    </i>
    <i>
      <x v="2"/>
    </i>
    <i>
      <x v="3"/>
    </i>
    <i>
      <x v="4"/>
    </i>
    <i>
      <x v="5"/>
    </i>
    <i t="grand">
      <x/>
    </i>
  </rowItems>
  <colItems count="1">
    <i/>
  </colItems>
  <dataFields count="1">
    <dataField name="Count of Lea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F76A5B-5EC0-4CE6-B464-CCB6E8F05D93}" name="PivotTable1"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B8" firstHeaderRow="1" firstDataRow="1" firstDataCol="1"/>
  <pivotFields count="9">
    <pivotField dataField="1" compact="0" outline="0" showAll="0"/>
    <pivotField compact="0" outline="0" showAll="0"/>
    <pivotField axis="axisRow" compact="0" outline="0" showAll="0">
      <items count="7">
        <item x="4"/>
        <item x="0"/>
        <item x="1"/>
        <item x="2"/>
        <item x="5"/>
        <item x="3"/>
        <item t="default"/>
      </items>
    </pivotField>
    <pivotField compact="0" outline="0" showAll="0">
      <items count="6">
        <item x="1"/>
        <item x="3"/>
        <item x="2"/>
        <item x="4"/>
        <item x="0"/>
        <item t="default"/>
      </items>
    </pivotField>
    <pivotField compact="0" outline="0" showAll="0">
      <items count="6">
        <item x="1"/>
        <item x="4"/>
        <item x="3"/>
        <item x="2"/>
        <item x="0"/>
        <item t="default"/>
      </items>
    </pivotField>
    <pivotField compact="0" outline="0" showAll="0"/>
    <pivotField compact="0" outline="0" showAll="0"/>
    <pivotField compact="0" outline="0" showAll="0"/>
    <pivotField compact="0" outline="0" showAll="0"/>
  </pivotFields>
  <rowFields count="1">
    <field x="2"/>
  </rowFields>
  <rowItems count="7">
    <i>
      <x/>
    </i>
    <i>
      <x v="1"/>
    </i>
    <i>
      <x v="2"/>
    </i>
    <i>
      <x v="3"/>
    </i>
    <i>
      <x v="4"/>
    </i>
    <i>
      <x v="5"/>
    </i>
    <i t="grand">
      <x/>
    </i>
  </rowItems>
  <colItems count="1">
    <i/>
  </colItems>
  <dataFields count="1">
    <dataField name="Count of Lead_I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ource" xr10:uid="{7F19425B-4A0D-4131-A4CB-FD0E2DBBDCE7}" sourceName="Lead_Source">
  <pivotTables>
    <pivotTable tabId="6" name="PivotTable1"/>
    <pivotTable tabId="6" name="PivotTable3"/>
    <pivotTable tabId="6" name="PivotTable2"/>
    <pivotTable tabId="6" name="PivotTable4"/>
  </pivotTables>
  <data>
    <tabular pivotCacheId="573329267">
      <items count="6">
        <i x="4" s="1"/>
        <i x="0" s="1"/>
        <i x="1"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F70307-03B7-42EE-A892-3FEC5C44D346}" sourceName="Region">
  <pivotTables>
    <pivotTable tabId="6" name="PivotTable1"/>
  </pivotTables>
  <data>
    <tabular pivotCacheId="573329267">
      <items count="5">
        <i x="1" s="1"/>
        <i x="3"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85299E58-0082-4572-B2DD-6AB0EF2E8095}" sourceName="Sales_Rep">
  <pivotTables>
    <pivotTable tabId="6" name="PivotTable1"/>
  </pivotTables>
  <data>
    <tabular pivotCacheId="573329267">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_Source" xr10:uid="{8AC7DEDA-10AB-4039-BA6D-01952E0CD4EF}" cache="Slicer_Lead_Source" caption="Lead_Source" rowHeight="228600"/>
  <slicer name="Region" xr10:uid="{D3813F81-113C-408B-9285-2A8E4FCAA9EF}" cache="Slicer_Region" caption="Region" rowHeight="228600"/>
  <slicer name="Sales_Rep" xr10:uid="{D775EBD4-FE6E-4468-A503-16D10DEFA8D0}" cache="Slicer_Sales_Rep" caption="Sales_Rep"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d_Source 1" xr10:uid="{2E099C8C-C616-4897-931C-1F276B873382}" cache="Slicer_Lead_Source" caption="Lead_Source" rowHeight="228600"/>
  <slicer name="Region 1" xr10:uid="{323FE51B-8989-47C3-892E-CC5B390E07BB}" cache="Slicer_Region" caption="Region" rowHeight="228600"/>
  <slicer name="Sales_Rep 1" xr10:uid="{5FDE0232-78BA-4D82-8E7F-42FDCA82ACB0}" cache="Slicer_Sales_Rep" caption="Sales_Rep"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BB5708-8F2D-4CD9-9769-3227ACFE7895}" name="Table1" displayName="Table1" ref="A1:I1001" totalsRowShown="0" headerRowDxfId="3">
  <autoFilter ref="A1:I1001" xr:uid="{02BB5708-8F2D-4CD9-9769-3227ACFE7895}"/>
  <tableColumns count="9">
    <tableColumn id="1" xr3:uid="{A8EB71A5-4586-42C5-A293-580A61E908EF}" name="Lead_ID"/>
    <tableColumn id="2" xr3:uid="{DB5E4339-EFC3-4113-9ABD-110D596E1DF3}" name="Customer_Name"/>
    <tableColumn id="3" xr3:uid="{7BBEC4B7-1D5E-46DF-B428-98B0F2C1F84A}" name="Lead_Source"/>
    <tableColumn id="4" xr3:uid="{0E240AA4-A32E-411B-BDDB-749AAD4309BA}" name="Region"/>
    <tableColumn id="5" xr3:uid="{469E8CE6-6B63-4626-8FDB-E3AE9BEA9A34}" name="Sales_Rep"/>
    <tableColumn id="6" xr3:uid="{E04D008D-2B54-404D-8A94-7A6421C70B88}" name="Created_Date"/>
    <tableColumn id="7" xr3:uid="{3E28C820-6539-47F2-A8EE-4ED30D4FDC3A}" name="Lead_Status"/>
    <tableColumn id="8" xr3:uid="{E5C5EA57-8577-45E1-A1DA-E5409FEB26F7}" name="Revenue"/>
    <tableColumn id="9" xr3:uid="{92E60682-6C53-466A-9394-3FC14BC7039B}" name="Response_Time_Day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F395A7-5225-4AE5-9C97-B989682309A2}" name="Table2" displayName="Table2" ref="A1:G501" totalsRowShown="0" headerRowDxfId="2">
  <autoFilter ref="A1:G501" xr:uid="{E5F395A7-5225-4AE5-9C97-B989682309A2}"/>
  <tableColumns count="7">
    <tableColumn id="1" xr3:uid="{F747AF38-E25A-4CFF-892E-FDF63680B6A1}" name="Feedback_ID"/>
    <tableColumn id="2" xr3:uid="{D4020DD4-7292-4D85-94A0-58D9BA9AA748}" name="Customer_Name"/>
    <tableColumn id="3" xr3:uid="{C63F969A-9AD6-4DD6-B84D-1592EC45E29C}" name="Feedback_Category"/>
    <tableColumn id="4" xr3:uid="{373B2034-4C05-4DBE-9A48-F5F85788319C}" name="Satisfaction_Level"/>
    <tableColumn id="5" xr3:uid="{0EE56555-C301-47C9-A0D7-D181BEBFE6A6}" name="NPS_Score"/>
    <tableColumn id="6" xr3:uid="{3943A9FE-892D-438A-9469-C1010ABD04F5}" name="Issue_Severity"/>
    <tableColumn id="7" xr3:uid="{F988F951-4363-458E-8B19-83F72441A6A1}" name="Feedback_Dat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1D7106-BEA2-45D8-882E-91FD0998DF25}" name="Table3" displayName="Table3" ref="A1:G301" totalsRowShown="0" headerRowDxfId="1">
  <autoFilter ref="A1:G301" xr:uid="{C81D7106-BEA2-45D8-882E-91FD0998DF25}"/>
  <tableColumns count="7">
    <tableColumn id="1" xr3:uid="{108E44D7-C77A-4C5C-83F5-F565B74D26D9}" name="Sales_ID"/>
    <tableColumn id="2" xr3:uid="{0FF7AC91-50FF-4142-BBA5-1B6042BC69D8}" name="Sales_Rep"/>
    <tableColumn id="3" xr3:uid="{2EF22B47-FBFB-4D8D-8625-0F91F63905EE}" name="Region"/>
    <tableColumn id="4" xr3:uid="{2D6C04DE-D381-402A-B29F-F76ACA686C0C}" name="Sales_Amount"/>
    <tableColumn id="5" xr3:uid="{3CEE9F38-5B81-4FB9-9F35-0180E74A281C}" name="Deals_Closed"/>
    <tableColumn id="6" xr3:uid="{C2EF6AFD-03A3-4648-9BF4-A92C91A070F9}" name="Lost_Deals"/>
    <tableColumn id="7" xr3:uid="{330830F1-CF07-4E35-8BC2-FE9AF689898F}" name="Month"/>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FC0D63A-9EA5-4468-BA87-FB57CC3D2AF5}" name="Table4" displayName="Table4" ref="A1:G101" totalsRowShown="0" headerRowDxfId="0">
  <autoFilter ref="A1:G101" xr:uid="{DFC0D63A-9EA5-4468-BA87-FB57CC3D2AF5}"/>
  <tableColumns count="7">
    <tableColumn id="1" xr3:uid="{8DA4DE21-87D7-4510-BF70-43CFB946208D}" name="Campaign_ID"/>
    <tableColumn id="2" xr3:uid="{A0C3102B-8BEF-47D9-8026-EEE6870ED2BF}" name="Campaign_Name"/>
    <tableColumn id="3" xr3:uid="{31C962A4-ABCF-4AD5-9881-2CE721FD3973}" name="Budget"/>
    <tableColumn id="4" xr3:uid="{6C606111-9868-47E1-A884-6414350DAA0D}" name="Leads_Generated"/>
    <tableColumn id="5" xr3:uid="{8B1A4399-B104-48BD-91B6-06B75FA5FD52}" name="Conversions"/>
    <tableColumn id="6" xr3:uid="{3CBDB724-A08A-47B7-881F-29AE0D6F37EE}" name="Conversion_Rate"/>
    <tableColumn id="7" xr3:uid="{35772E8D-C1E7-4AD9-99AE-7D58425C56AD}" name="Mon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sqref="A1:I1001"/>
    </sheetView>
  </sheetViews>
  <sheetFormatPr defaultRowHeight="15"/>
  <cols>
    <col min="1" max="1" width="10.28515625" bestFit="1" customWidth="1"/>
    <col min="2" max="2" width="18.140625" bestFit="1" customWidth="1"/>
    <col min="3" max="3" width="14.7109375" bestFit="1" customWidth="1"/>
    <col min="4" max="4" width="10.42578125" bestFit="1" customWidth="1"/>
    <col min="5" max="5" width="12.140625" bestFit="1" customWidth="1"/>
    <col min="6" max="6" width="15.42578125" bestFit="1" customWidth="1"/>
    <col min="7" max="7" width="14" bestFit="1" customWidth="1"/>
    <col min="8" max="8" width="10.85546875" bestFit="1" customWidth="1"/>
    <col min="9" max="9" width="22.42578125" bestFit="1" customWidth="1"/>
    <col min="11" max="11" width="16.42578125" customWidth="1"/>
  </cols>
  <sheetData>
    <row r="1" spans="1:12">
      <c r="A1" s="1" t="s">
        <v>0</v>
      </c>
      <c r="B1" s="1" t="s">
        <v>1</v>
      </c>
      <c r="C1" s="1" t="s">
        <v>2</v>
      </c>
      <c r="D1" s="1" t="s">
        <v>3</v>
      </c>
      <c r="E1" s="1" t="s">
        <v>4</v>
      </c>
      <c r="F1" s="1" t="s">
        <v>5</v>
      </c>
      <c r="G1" s="1" t="s">
        <v>6</v>
      </c>
      <c r="H1" s="1" t="s">
        <v>7</v>
      </c>
      <c r="I1" s="1" t="s">
        <v>8</v>
      </c>
      <c r="K1" t="s">
        <v>9</v>
      </c>
      <c r="L1" t="s">
        <v>10</v>
      </c>
    </row>
    <row r="2" spans="1:12">
      <c r="A2" t="s">
        <v>11</v>
      </c>
      <c r="B2" t="s">
        <v>12</v>
      </c>
      <c r="C2" t="s">
        <v>13</v>
      </c>
      <c r="D2" t="s">
        <v>14</v>
      </c>
      <c r="E2" t="s">
        <v>15</v>
      </c>
      <c r="F2" t="s">
        <v>16</v>
      </c>
      <c r="G2" t="s">
        <v>17</v>
      </c>
      <c r="H2">
        <v>0</v>
      </c>
      <c r="I2">
        <v>29</v>
      </c>
      <c r="K2" t="s">
        <v>18</v>
      </c>
      <c r="L2">
        <f>COUNTA(A:A)-1</f>
        <v>1000</v>
      </c>
    </row>
    <row r="3" spans="1:12">
      <c r="A3" t="s">
        <v>19</v>
      </c>
      <c r="B3" t="s">
        <v>20</v>
      </c>
      <c r="C3" t="s">
        <v>21</v>
      </c>
      <c r="D3" t="s">
        <v>22</v>
      </c>
      <c r="E3" t="s">
        <v>23</v>
      </c>
      <c r="F3" t="s">
        <v>24</v>
      </c>
      <c r="G3" t="s">
        <v>25</v>
      </c>
      <c r="H3">
        <v>0</v>
      </c>
      <c r="I3">
        <v>21</v>
      </c>
      <c r="K3" t="s">
        <v>26</v>
      </c>
      <c r="L3">
        <f>COUNTIF(G:G,"Converted")</f>
        <v>156</v>
      </c>
    </row>
    <row r="4" spans="1:12">
      <c r="A4" t="s">
        <v>27</v>
      </c>
      <c r="B4" t="s">
        <v>28</v>
      </c>
      <c r="C4" t="s">
        <v>29</v>
      </c>
      <c r="D4" t="s">
        <v>14</v>
      </c>
      <c r="E4" t="s">
        <v>30</v>
      </c>
      <c r="F4" t="s">
        <v>31</v>
      </c>
      <c r="G4" t="s">
        <v>25</v>
      </c>
      <c r="H4">
        <v>0</v>
      </c>
      <c r="I4">
        <v>15</v>
      </c>
      <c r="K4" t="s">
        <v>32</v>
      </c>
      <c r="L4">
        <f>COUNTIF(G:G,"Lost")</f>
        <v>154</v>
      </c>
    </row>
    <row r="5" spans="1:12">
      <c r="A5" t="s">
        <v>33</v>
      </c>
      <c r="B5" t="s">
        <v>34</v>
      </c>
      <c r="C5" t="s">
        <v>35</v>
      </c>
      <c r="D5" t="s">
        <v>36</v>
      </c>
      <c r="E5" t="s">
        <v>15</v>
      </c>
      <c r="F5" t="s">
        <v>37</v>
      </c>
      <c r="G5" t="s">
        <v>38</v>
      </c>
      <c r="H5">
        <v>0</v>
      </c>
      <c r="I5">
        <v>15</v>
      </c>
      <c r="K5" t="s">
        <v>39</v>
      </c>
      <c r="L5">
        <f>L3/L2</f>
        <v>0.156</v>
      </c>
    </row>
    <row r="6" spans="1:12">
      <c r="A6" t="s">
        <v>40</v>
      </c>
      <c r="B6" t="s">
        <v>41</v>
      </c>
      <c r="C6" t="s">
        <v>29</v>
      </c>
      <c r="D6" t="s">
        <v>22</v>
      </c>
      <c r="E6" t="s">
        <v>42</v>
      </c>
      <c r="F6" t="s">
        <v>43</v>
      </c>
      <c r="G6" t="s">
        <v>25</v>
      </c>
      <c r="H6">
        <v>0</v>
      </c>
      <c r="I6">
        <v>18</v>
      </c>
      <c r="K6" t="s">
        <v>44</v>
      </c>
      <c r="L6">
        <f>SUM(H:H)</f>
        <v>38855248</v>
      </c>
    </row>
    <row r="7" spans="1:12">
      <c r="A7" t="s">
        <v>45</v>
      </c>
      <c r="B7" t="s">
        <v>46</v>
      </c>
      <c r="C7" t="s">
        <v>47</v>
      </c>
      <c r="D7" t="s">
        <v>22</v>
      </c>
      <c r="E7" t="s">
        <v>23</v>
      </c>
      <c r="F7" t="s">
        <v>48</v>
      </c>
      <c r="G7" t="s">
        <v>49</v>
      </c>
      <c r="H7">
        <v>0</v>
      </c>
      <c r="I7">
        <v>17</v>
      </c>
      <c r="K7" t="s">
        <v>50</v>
      </c>
      <c r="L7">
        <f>AVERAGE(I:I)</f>
        <v>15.957000000000001</v>
      </c>
    </row>
    <row r="8" spans="1:12">
      <c r="A8" t="s">
        <v>51</v>
      </c>
      <c r="B8" t="s">
        <v>52</v>
      </c>
      <c r="C8" t="s">
        <v>47</v>
      </c>
      <c r="D8" t="s">
        <v>22</v>
      </c>
      <c r="E8" t="s">
        <v>42</v>
      </c>
      <c r="F8" t="s">
        <v>53</v>
      </c>
      <c r="G8" t="s">
        <v>54</v>
      </c>
      <c r="H8">
        <v>318858</v>
      </c>
      <c r="I8">
        <v>4</v>
      </c>
      <c r="K8" t="s">
        <v>55</v>
      </c>
    </row>
    <row r="9" spans="1:12">
      <c r="A9" t="s">
        <v>56</v>
      </c>
      <c r="B9" t="s">
        <v>57</v>
      </c>
      <c r="C9" t="s">
        <v>13</v>
      </c>
      <c r="D9" t="s">
        <v>58</v>
      </c>
      <c r="E9" t="s">
        <v>23</v>
      </c>
      <c r="F9" t="s">
        <v>59</v>
      </c>
      <c r="G9" t="s">
        <v>49</v>
      </c>
      <c r="H9">
        <v>0</v>
      </c>
      <c r="I9">
        <v>29</v>
      </c>
      <c r="K9" t="s">
        <v>60</v>
      </c>
    </row>
    <row r="10" spans="1:12">
      <c r="A10" t="s">
        <v>61</v>
      </c>
      <c r="B10" t="s">
        <v>62</v>
      </c>
      <c r="C10" t="s">
        <v>63</v>
      </c>
      <c r="D10" t="s">
        <v>14</v>
      </c>
      <c r="E10" t="s">
        <v>42</v>
      </c>
      <c r="F10" t="s">
        <v>64</v>
      </c>
      <c r="G10" t="s">
        <v>54</v>
      </c>
      <c r="H10">
        <v>64595</v>
      </c>
      <c r="I10">
        <v>9</v>
      </c>
    </row>
    <row r="11" spans="1:12">
      <c r="A11" t="s">
        <v>65</v>
      </c>
      <c r="B11" t="s">
        <v>66</v>
      </c>
      <c r="C11" t="s">
        <v>21</v>
      </c>
      <c r="D11" t="s">
        <v>58</v>
      </c>
      <c r="E11" t="s">
        <v>23</v>
      </c>
      <c r="F11" t="s">
        <v>67</v>
      </c>
      <c r="G11" t="s">
        <v>54</v>
      </c>
      <c r="H11">
        <v>274905</v>
      </c>
      <c r="I11">
        <v>30</v>
      </c>
    </row>
    <row r="12" spans="1:12">
      <c r="A12" t="s">
        <v>68</v>
      </c>
      <c r="B12" t="s">
        <v>69</v>
      </c>
      <c r="C12" t="s">
        <v>13</v>
      </c>
      <c r="D12" t="s">
        <v>22</v>
      </c>
      <c r="E12" t="s">
        <v>23</v>
      </c>
      <c r="F12" t="s">
        <v>70</v>
      </c>
      <c r="G12" t="s">
        <v>38</v>
      </c>
      <c r="H12">
        <v>0</v>
      </c>
      <c r="I12">
        <v>9</v>
      </c>
    </row>
    <row r="13" spans="1:12">
      <c r="A13" t="s">
        <v>71</v>
      </c>
      <c r="B13" t="s">
        <v>72</v>
      </c>
      <c r="C13" t="s">
        <v>13</v>
      </c>
      <c r="D13" t="s">
        <v>36</v>
      </c>
      <c r="E13" t="s">
        <v>73</v>
      </c>
      <c r="F13" t="s">
        <v>74</v>
      </c>
      <c r="G13" t="s">
        <v>75</v>
      </c>
      <c r="H13">
        <v>0</v>
      </c>
      <c r="I13">
        <v>7</v>
      </c>
    </row>
    <row r="14" spans="1:12">
      <c r="A14" t="s">
        <v>76</v>
      </c>
      <c r="B14" t="s">
        <v>77</v>
      </c>
      <c r="C14" t="s">
        <v>35</v>
      </c>
      <c r="D14" t="s">
        <v>78</v>
      </c>
      <c r="E14" t="s">
        <v>42</v>
      </c>
      <c r="F14" t="s">
        <v>79</v>
      </c>
      <c r="G14" t="s">
        <v>25</v>
      </c>
      <c r="H14">
        <v>0</v>
      </c>
      <c r="I14">
        <v>2</v>
      </c>
    </row>
    <row r="15" spans="1:12">
      <c r="A15" t="s">
        <v>80</v>
      </c>
      <c r="B15" t="s">
        <v>81</v>
      </c>
      <c r="C15" t="s">
        <v>29</v>
      </c>
      <c r="D15" t="s">
        <v>36</v>
      </c>
      <c r="E15" t="s">
        <v>30</v>
      </c>
      <c r="F15" t="s">
        <v>43</v>
      </c>
      <c r="G15" t="s">
        <v>38</v>
      </c>
      <c r="H15">
        <v>0</v>
      </c>
      <c r="I15">
        <v>15</v>
      </c>
    </row>
    <row r="16" spans="1:12">
      <c r="A16" t="s">
        <v>82</v>
      </c>
      <c r="B16" t="s">
        <v>83</v>
      </c>
      <c r="C16" t="s">
        <v>13</v>
      </c>
      <c r="D16" t="s">
        <v>78</v>
      </c>
      <c r="E16" t="s">
        <v>30</v>
      </c>
      <c r="F16" t="s">
        <v>84</v>
      </c>
      <c r="G16" t="s">
        <v>54</v>
      </c>
      <c r="H16">
        <v>272902</v>
      </c>
      <c r="I16">
        <v>18</v>
      </c>
    </row>
    <row r="17" spans="1:9">
      <c r="A17" t="s">
        <v>85</v>
      </c>
      <c r="B17" t="s">
        <v>86</v>
      </c>
      <c r="C17" t="s">
        <v>29</v>
      </c>
      <c r="D17" t="s">
        <v>36</v>
      </c>
      <c r="E17" t="s">
        <v>15</v>
      </c>
      <c r="F17" t="s">
        <v>87</v>
      </c>
      <c r="G17" t="s">
        <v>25</v>
      </c>
      <c r="H17">
        <v>0</v>
      </c>
      <c r="I17">
        <v>16</v>
      </c>
    </row>
    <row r="18" spans="1:9">
      <c r="A18" t="s">
        <v>88</v>
      </c>
      <c r="B18" t="s">
        <v>89</v>
      </c>
      <c r="C18" t="s">
        <v>21</v>
      </c>
      <c r="D18" t="s">
        <v>22</v>
      </c>
      <c r="E18" t="s">
        <v>30</v>
      </c>
      <c r="F18" t="s">
        <v>90</v>
      </c>
      <c r="G18" t="s">
        <v>75</v>
      </c>
      <c r="H18">
        <v>0</v>
      </c>
      <c r="I18">
        <v>2</v>
      </c>
    </row>
    <row r="19" spans="1:9">
      <c r="A19" t="s">
        <v>91</v>
      </c>
      <c r="B19" t="s">
        <v>92</v>
      </c>
      <c r="C19" t="s">
        <v>29</v>
      </c>
      <c r="D19" t="s">
        <v>58</v>
      </c>
      <c r="E19" t="s">
        <v>73</v>
      </c>
      <c r="F19" t="s">
        <v>93</v>
      </c>
      <c r="G19" t="s">
        <v>49</v>
      </c>
      <c r="H19">
        <v>0</v>
      </c>
      <c r="I19">
        <v>26</v>
      </c>
    </row>
    <row r="20" spans="1:9">
      <c r="A20" t="s">
        <v>94</v>
      </c>
      <c r="B20" t="s">
        <v>95</v>
      </c>
      <c r="C20" t="s">
        <v>13</v>
      </c>
      <c r="D20" t="s">
        <v>36</v>
      </c>
      <c r="E20" t="s">
        <v>15</v>
      </c>
      <c r="F20" t="s">
        <v>96</v>
      </c>
      <c r="G20" t="s">
        <v>54</v>
      </c>
      <c r="H20">
        <v>498112</v>
      </c>
      <c r="I20">
        <v>24</v>
      </c>
    </row>
    <row r="21" spans="1:9">
      <c r="A21" t="s">
        <v>97</v>
      </c>
      <c r="B21" t="s">
        <v>98</v>
      </c>
      <c r="C21" t="s">
        <v>21</v>
      </c>
      <c r="D21" t="s">
        <v>36</v>
      </c>
      <c r="E21" t="s">
        <v>23</v>
      </c>
      <c r="F21" t="s">
        <v>99</v>
      </c>
      <c r="G21" t="s">
        <v>17</v>
      </c>
      <c r="H21">
        <v>0</v>
      </c>
      <c r="I21">
        <v>22</v>
      </c>
    </row>
    <row r="22" spans="1:9">
      <c r="A22" t="s">
        <v>100</v>
      </c>
      <c r="B22" t="s">
        <v>101</v>
      </c>
      <c r="C22" t="s">
        <v>21</v>
      </c>
      <c r="D22" t="s">
        <v>58</v>
      </c>
      <c r="E22" t="s">
        <v>30</v>
      </c>
      <c r="F22" t="s">
        <v>102</v>
      </c>
      <c r="G22" t="s">
        <v>17</v>
      </c>
      <c r="H22">
        <v>0</v>
      </c>
      <c r="I22">
        <v>25</v>
      </c>
    </row>
    <row r="23" spans="1:9">
      <c r="A23" t="s">
        <v>103</v>
      </c>
      <c r="B23" t="s">
        <v>104</v>
      </c>
      <c r="C23" t="s">
        <v>47</v>
      </c>
      <c r="D23" t="s">
        <v>36</v>
      </c>
      <c r="E23" t="s">
        <v>42</v>
      </c>
      <c r="F23" t="s">
        <v>105</v>
      </c>
      <c r="G23" t="s">
        <v>75</v>
      </c>
      <c r="H23">
        <v>0</v>
      </c>
      <c r="I23">
        <v>20</v>
      </c>
    </row>
    <row r="24" spans="1:9">
      <c r="A24" t="s">
        <v>106</v>
      </c>
      <c r="B24" t="s">
        <v>107</v>
      </c>
      <c r="C24" t="s">
        <v>13</v>
      </c>
      <c r="D24" t="s">
        <v>36</v>
      </c>
      <c r="E24" t="s">
        <v>23</v>
      </c>
      <c r="F24" t="s">
        <v>108</v>
      </c>
      <c r="G24" t="s">
        <v>49</v>
      </c>
      <c r="H24">
        <v>0</v>
      </c>
      <c r="I24">
        <v>3</v>
      </c>
    </row>
    <row r="25" spans="1:9">
      <c r="A25" t="s">
        <v>109</v>
      </c>
      <c r="B25" t="s">
        <v>110</v>
      </c>
      <c r="C25" t="s">
        <v>35</v>
      </c>
      <c r="D25" t="s">
        <v>22</v>
      </c>
      <c r="E25" t="s">
        <v>73</v>
      </c>
      <c r="F25" t="s">
        <v>111</v>
      </c>
      <c r="G25" t="s">
        <v>54</v>
      </c>
      <c r="H25">
        <v>228190</v>
      </c>
      <c r="I25">
        <v>4</v>
      </c>
    </row>
    <row r="26" spans="1:9">
      <c r="A26" t="s">
        <v>112</v>
      </c>
      <c r="B26" t="s">
        <v>113</v>
      </c>
      <c r="C26" t="s">
        <v>63</v>
      </c>
      <c r="D26" t="s">
        <v>22</v>
      </c>
      <c r="E26" t="s">
        <v>23</v>
      </c>
      <c r="F26" t="s">
        <v>114</v>
      </c>
      <c r="G26" t="s">
        <v>75</v>
      </c>
      <c r="H26">
        <v>0</v>
      </c>
      <c r="I26">
        <v>9</v>
      </c>
    </row>
    <row r="27" spans="1:9">
      <c r="A27" t="s">
        <v>115</v>
      </c>
      <c r="B27" t="s">
        <v>116</v>
      </c>
      <c r="C27" t="s">
        <v>29</v>
      </c>
      <c r="D27" t="s">
        <v>78</v>
      </c>
      <c r="E27" t="s">
        <v>73</v>
      </c>
      <c r="F27" t="s">
        <v>117</v>
      </c>
      <c r="G27" t="s">
        <v>54</v>
      </c>
      <c r="H27">
        <v>73285</v>
      </c>
      <c r="I27">
        <v>5</v>
      </c>
    </row>
    <row r="28" spans="1:9">
      <c r="A28" t="s">
        <v>118</v>
      </c>
      <c r="B28" t="s">
        <v>119</v>
      </c>
      <c r="C28" t="s">
        <v>47</v>
      </c>
      <c r="D28" t="s">
        <v>22</v>
      </c>
      <c r="E28" t="s">
        <v>15</v>
      </c>
      <c r="F28" t="s">
        <v>120</v>
      </c>
      <c r="G28" t="s">
        <v>25</v>
      </c>
      <c r="H28">
        <v>0</v>
      </c>
      <c r="I28">
        <v>1</v>
      </c>
    </row>
    <row r="29" spans="1:9">
      <c r="A29" t="s">
        <v>121</v>
      </c>
      <c r="B29" t="s">
        <v>122</v>
      </c>
      <c r="C29" t="s">
        <v>13</v>
      </c>
      <c r="D29" t="s">
        <v>22</v>
      </c>
      <c r="E29" t="s">
        <v>73</v>
      </c>
      <c r="F29" t="s">
        <v>123</v>
      </c>
      <c r="G29" t="s">
        <v>54</v>
      </c>
      <c r="H29">
        <v>462970</v>
      </c>
      <c r="I29">
        <v>6</v>
      </c>
    </row>
    <row r="30" spans="1:9">
      <c r="A30" t="s">
        <v>124</v>
      </c>
      <c r="B30" t="s">
        <v>125</v>
      </c>
      <c r="C30" t="s">
        <v>29</v>
      </c>
      <c r="D30" t="s">
        <v>14</v>
      </c>
      <c r="E30" t="s">
        <v>23</v>
      </c>
      <c r="F30" t="s">
        <v>126</v>
      </c>
      <c r="G30" t="s">
        <v>49</v>
      </c>
      <c r="H30">
        <v>0</v>
      </c>
      <c r="I30">
        <v>8</v>
      </c>
    </row>
    <row r="31" spans="1:9">
      <c r="A31" t="s">
        <v>127</v>
      </c>
      <c r="B31" t="s">
        <v>128</v>
      </c>
      <c r="C31" t="s">
        <v>13</v>
      </c>
      <c r="D31" t="s">
        <v>14</v>
      </c>
      <c r="E31" t="s">
        <v>73</v>
      </c>
      <c r="F31" t="s">
        <v>129</v>
      </c>
      <c r="G31" t="s">
        <v>75</v>
      </c>
      <c r="H31">
        <v>0</v>
      </c>
      <c r="I31">
        <v>16</v>
      </c>
    </row>
    <row r="32" spans="1:9">
      <c r="A32" t="s">
        <v>130</v>
      </c>
      <c r="B32" t="s">
        <v>131</v>
      </c>
      <c r="C32" t="s">
        <v>29</v>
      </c>
      <c r="D32" t="s">
        <v>78</v>
      </c>
      <c r="E32" t="s">
        <v>23</v>
      </c>
      <c r="F32" t="s">
        <v>132</v>
      </c>
      <c r="G32" t="s">
        <v>17</v>
      </c>
      <c r="H32">
        <v>0</v>
      </c>
      <c r="I32">
        <v>27</v>
      </c>
    </row>
    <row r="33" spans="1:9">
      <c r="A33" t="s">
        <v>133</v>
      </c>
      <c r="B33" t="s">
        <v>134</v>
      </c>
      <c r="C33" t="s">
        <v>63</v>
      </c>
      <c r="D33" t="s">
        <v>14</v>
      </c>
      <c r="E33" t="s">
        <v>42</v>
      </c>
      <c r="F33" t="s">
        <v>135</v>
      </c>
      <c r="G33" t="s">
        <v>54</v>
      </c>
      <c r="H33">
        <v>352458</v>
      </c>
      <c r="I33">
        <v>15</v>
      </c>
    </row>
    <row r="34" spans="1:9">
      <c r="A34" t="s">
        <v>136</v>
      </c>
      <c r="B34" t="s">
        <v>137</v>
      </c>
      <c r="C34" t="s">
        <v>21</v>
      </c>
      <c r="D34" t="s">
        <v>22</v>
      </c>
      <c r="E34" t="s">
        <v>42</v>
      </c>
      <c r="F34" t="s">
        <v>138</v>
      </c>
      <c r="G34" t="s">
        <v>75</v>
      </c>
      <c r="H34">
        <v>0</v>
      </c>
      <c r="I34">
        <v>14</v>
      </c>
    </row>
    <row r="35" spans="1:9">
      <c r="A35" t="s">
        <v>139</v>
      </c>
      <c r="B35" t="s">
        <v>140</v>
      </c>
      <c r="C35" t="s">
        <v>35</v>
      </c>
      <c r="D35" t="s">
        <v>78</v>
      </c>
      <c r="E35" t="s">
        <v>42</v>
      </c>
      <c r="F35" t="s">
        <v>141</v>
      </c>
      <c r="G35" t="s">
        <v>75</v>
      </c>
      <c r="H35">
        <v>0</v>
      </c>
      <c r="I35">
        <v>14</v>
      </c>
    </row>
    <row r="36" spans="1:9">
      <c r="A36" t="s">
        <v>142</v>
      </c>
      <c r="B36" t="s">
        <v>143</v>
      </c>
      <c r="C36" t="s">
        <v>63</v>
      </c>
      <c r="D36" t="s">
        <v>58</v>
      </c>
      <c r="E36" t="s">
        <v>42</v>
      </c>
      <c r="F36" t="s">
        <v>144</v>
      </c>
      <c r="G36" t="s">
        <v>49</v>
      </c>
      <c r="H36">
        <v>0</v>
      </c>
      <c r="I36">
        <v>27</v>
      </c>
    </row>
    <row r="37" spans="1:9">
      <c r="A37" t="s">
        <v>145</v>
      </c>
      <c r="B37" t="s">
        <v>146</v>
      </c>
      <c r="C37" t="s">
        <v>13</v>
      </c>
      <c r="D37" t="s">
        <v>36</v>
      </c>
      <c r="E37" t="s">
        <v>30</v>
      </c>
      <c r="F37" t="s">
        <v>147</v>
      </c>
      <c r="G37" t="s">
        <v>54</v>
      </c>
      <c r="H37">
        <v>59327</v>
      </c>
      <c r="I37">
        <v>12</v>
      </c>
    </row>
    <row r="38" spans="1:9">
      <c r="A38" t="s">
        <v>148</v>
      </c>
      <c r="B38" t="s">
        <v>149</v>
      </c>
      <c r="C38" t="s">
        <v>47</v>
      </c>
      <c r="D38" t="s">
        <v>78</v>
      </c>
      <c r="E38" t="s">
        <v>15</v>
      </c>
      <c r="F38" t="s">
        <v>150</v>
      </c>
      <c r="G38" t="s">
        <v>54</v>
      </c>
      <c r="H38">
        <v>128659</v>
      </c>
      <c r="I38">
        <v>14</v>
      </c>
    </row>
    <row r="39" spans="1:9">
      <c r="A39" t="s">
        <v>151</v>
      </c>
      <c r="B39" t="s">
        <v>152</v>
      </c>
      <c r="C39" t="s">
        <v>13</v>
      </c>
      <c r="D39" t="s">
        <v>22</v>
      </c>
      <c r="E39" t="s">
        <v>30</v>
      </c>
      <c r="F39" t="s">
        <v>153</v>
      </c>
      <c r="G39" t="s">
        <v>17</v>
      </c>
      <c r="H39">
        <v>0</v>
      </c>
      <c r="I39">
        <v>10</v>
      </c>
    </row>
    <row r="40" spans="1:9">
      <c r="A40" t="s">
        <v>154</v>
      </c>
      <c r="B40" t="s">
        <v>155</v>
      </c>
      <c r="C40" t="s">
        <v>47</v>
      </c>
      <c r="D40" t="s">
        <v>22</v>
      </c>
      <c r="E40" t="s">
        <v>23</v>
      </c>
      <c r="F40" t="s">
        <v>156</v>
      </c>
      <c r="G40" t="s">
        <v>17</v>
      </c>
      <c r="H40">
        <v>0</v>
      </c>
      <c r="I40">
        <v>30</v>
      </c>
    </row>
    <row r="41" spans="1:9">
      <c r="A41" t="s">
        <v>157</v>
      </c>
      <c r="B41" t="s">
        <v>158</v>
      </c>
      <c r="C41" t="s">
        <v>13</v>
      </c>
      <c r="D41" t="s">
        <v>58</v>
      </c>
      <c r="E41" t="s">
        <v>73</v>
      </c>
      <c r="F41" t="s">
        <v>159</v>
      </c>
      <c r="G41" t="s">
        <v>54</v>
      </c>
      <c r="H41">
        <v>182133</v>
      </c>
      <c r="I41">
        <v>4</v>
      </c>
    </row>
    <row r="42" spans="1:9">
      <c r="A42" t="s">
        <v>160</v>
      </c>
      <c r="B42" t="s">
        <v>161</v>
      </c>
      <c r="C42" t="s">
        <v>47</v>
      </c>
      <c r="D42" t="s">
        <v>58</v>
      </c>
      <c r="E42" t="s">
        <v>15</v>
      </c>
      <c r="F42" t="s">
        <v>53</v>
      </c>
      <c r="G42" t="s">
        <v>38</v>
      </c>
      <c r="H42">
        <v>0</v>
      </c>
      <c r="I42">
        <v>11</v>
      </c>
    </row>
    <row r="43" spans="1:9">
      <c r="A43" t="s">
        <v>162</v>
      </c>
      <c r="B43" t="s">
        <v>163</v>
      </c>
      <c r="C43" t="s">
        <v>35</v>
      </c>
      <c r="D43" t="s">
        <v>58</v>
      </c>
      <c r="E43" t="s">
        <v>73</v>
      </c>
      <c r="F43" t="s">
        <v>164</v>
      </c>
      <c r="G43" t="s">
        <v>75</v>
      </c>
      <c r="H43">
        <v>0</v>
      </c>
      <c r="I43">
        <v>14</v>
      </c>
    </row>
    <row r="44" spans="1:9">
      <c r="A44" t="s">
        <v>165</v>
      </c>
      <c r="B44" t="s">
        <v>166</v>
      </c>
      <c r="C44" t="s">
        <v>47</v>
      </c>
      <c r="D44" t="s">
        <v>36</v>
      </c>
      <c r="E44" t="s">
        <v>23</v>
      </c>
      <c r="F44" t="s">
        <v>167</v>
      </c>
      <c r="G44" t="s">
        <v>75</v>
      </c>
      <c r="H44">
        <v>0</v>
      </c>
      <c r="I44">
        <v>5</v>
      </c>
    </row>
    <row r="45" spans="1:9">
      <c r="A45" t="s">
        <v>168</v>
      </c>
      <c r="B45" t="s">
        <v>169</v>
      </c>
      <c r="C45" t="s">
        <v>21</v>
      </c>
      <c r="D45" t="s">
        <v>78</v>
      </c>
      <c r="E45" t="s">
        <v>30</v>
      </c>
      <c r="F45" t="s">
        <v>170</v>
      </c>
      <c r="G45" t="s">
        <v>54</v>
      </c>
      <c r="H45">
        <v>331992</v>
      </c>
      <c r="I45">
        <v>11</v>
      </c>
    </row>
    <row r="46" spans="1:9">
      <c r="A46" t="s">
        <v>171</v>
      </c>
      <c r="B46" t="s">
        <v>172</v>
      </c>
      <c r="C46" t="s">
        <v>21</v>
      </c>
      <c r="D46" t="s">
        <v>58</v>
      </c>
      <c r="E46" t="s">
        <v>15</v>
      </c>
      <c r="F46" t="s">
        <v>173</v>
      </c>
      <c r="G46" t="s">
        <v>17</v>
      </c>
      <c r="H46">
        <v>0</v>
      </c>
      <c r="I46">
        <v>11</v>
      </c>
    </row>
    <row r="47" spans="1:9">
      <c r="A47" t="s">
        <v>174</v>
      </c>
      <c r="B47" t="s">
        <v>175</v>
      </c>
      <c r="C47" t="s">
        <v>35</v>
      </c>
      <c r="D47" t="s">
        <v>78</v>
      </c>
      <c r="E47" t="s">
        <v>73</v>
      </c>
      <c r="F47" t="s">
        <v>176</v>
      </c>
      <c r="G47" t="s">
        <v>38</v>
      </c>
      <c r="H47">
        <v>0</v>
      </c>
      <c r="I47">
        <v>26</v>
      </c>
    </row>
    <row r="48" spans="1:9">
      <c r="A48" t="s">
        <v>177</v>
      </c>
      <c r="B48" t="s">
        <v>178</v>
      </c>
      <c r="C48" t="s">
        <v>47</v>
      </c>
      <c r="D48" t="s">
        <v>22</v>
      </c>
      <c r="E48" t="s">
        <v>73</v>
      </c>
      <c r="F48" t="s">
        <v>179</v>
      </c>
      <c r="G48" t="s">
        <v>75</v>
      </c>
      <c r="H48">
        <v>0</v>
      </c>
      <c r="I48">
        <v>24</v>
      </c>
    </row>
    <row r="49" spans="1:9">
      <c r="A49" t="s">
        <v>180</v>
      </c>
      <c r="B49" t="s">
        <v>181</v>
      </c>
      <c r="C49" t="s">
        <v>21</v>
      </c>
      <c r="D49" t="s">
        <v>58</v>
      </c>
      <c r="E49" t="s">
        <v>42</v>
      </c>
      <c r="F49" t="s">
        <v>182</v>
      </c>
      <c r="G49" t="s">
        <v>25</v>
      </c>
      <c r="H49">
        <v>0</v>
      </c>
      <c r="I49">
        <v>1</v>
      </c>
    </row>
    <row r="50" spans="1:9">
      <c r="A50" t="s">
        <v>183</v>
      </c>
      <c r="B50" t="s">
        <v>184</v>
      </c>
      <c r="C50" t="s">
        <v>35</v>
      </c>
      <c r="D50" t="s">
        <v>22</v>
      </c>
      <c r="E50" t="s">
        <v>15</v>
      </c>
      <c r="F50" t="s">
        <v>185</v>
      </c>
      <c r="G50" t="s">
        <v>25</v>
      </c>
      <c r="H50">
        <v>0</v>
      </c>
      <c r="I50">
        <v>15</v>
      </c>
    </row>
    <row r="51" spans="1:9">
      <c r="A51" t="s">
        <v>186</v>
      </c>
      <c r="B51" t="s">
        <v>187</v>
      </c>
      <c r="C51" t="s">
        <v>35</v>
      </c>
      <c r="D51" t="s">
        <v>36</v>
      </c>
      <c r="E51" t="s">
        <v>15</v>
      </c>
      <c r="F51" t="s">
        <v>188</v>
      </c>
      <c r="G51" t="s">
        <v>17</v>
      </c>
      <c r="H51">
        <v>0</v>
      </c>
      <c r="I51">
        <v>30</v>
      </c>
    </row>
    <row r="52" spans="1:9">
      <c r="A52" t="s">
        <v>189</v>
      </c>
      <c r="B52" t="s">
        <v>190</v>
      </c>
      <c r="C52" t="s">
        <v>63</v>
      </c>
      <c r="D52" t="s">
        <v>14</v>
      </c>
      <c r="E52" t="s">
        <v>15</v>
      </c>
      <c r="F52" t="s">
        <v>191</v>
      </c>
      <c r="G52" t="s">
        <v>54</v>
      </c>
      <c r="H52">
        <v>185408</v>
      </c>
      <c r="I52">
        <v>9</v>
      </c>
    </row>
    <row r="53" spans="1:9">
      <c r="A53" t="s">
        <v>192</v>
      </c>
      <c r="B53" t="s">
        <v>193</v>
      </c>
      <c r="C53" t="s">
        <v>63</v>
      </c>
      <c r="D53" t="s">
        <v>78</v>
      </c>
      <c r="E53" t="s">
        <v>23</v>
      </c>
      <c r="F53" t="s">
        <v>194</v>
      </c>
      <c r="G53" t="s">
        <v>54</v>
      </c>
      <c r="H53">
        <v>296099</v>
      </c>
      <c r="I53">
        <v>13</v>
      </c>
    </row>
    <row r="54" spans="1:9">
      <c r="A54" t="s">
        <v>195</v>
      </c>
      <c r="B54" t="s">
        <v>196</v>
      </c>
      <c r="C54" t="s">
        <v>29</v>
      </c>
      <c r="D54" t="s">
        <v>78</v>
      </c>
      <c r="E54" t="s">
        <v>23</v>
      </c>
      <c r="F54" t="s">
        <v>197</v>
      </c>
      <c r="G54" t="s">
        <v>54</v>
      </c>
      <c r="H54">
        <v>392664</v>
      </c>
      <c r="I54">
        <v>24</v>
      </c>
    </row>
    <row r="55" spans="1:9">
      <c r="A55" t="s">
        <v>198</v>
      </c>
      <c r="B55" t="s">
        <v>199</v>
      </c>
      <c r="C55" t="s">
        <v>63</v>
      </c>
      <c r="D55" t="s">
        <v>58</v>
      </c>
      <c r="E55" t="s">
        <v>42</v>
      </c>
      <c r="F55" t="s">
        <v>200</v>
      </c>
      <c r="G55" t="s">
        <v>25</v>
      </c>
      <c r="H55">
        <v>0</v>
      </c>
      <c r="I55">
        <v>6</v>
      </c>
    </row>
    <row r="56" spans="1:9">
      <c r="A56" t="s">
        <v>201</v>
      </c>
      <c r="B56" t="s">
        <v>202</v>
      </c>
      <c r="C56" t="s">
        <v>63</v>
      </c>
      <c r="D56" t="s">
        <v>22</v>
      </c>
      <c r="E56" t="s">
        <v>23</v>
      </c>
      <c r="F56" t="s">
        <v>203</v>
      </c>
      <c r="G56" t="s">
        <v>75</v>
      </c>
      <c r="H56">
        <v>0</v>
      </c>
      <c r="I56">
        <v>29</v>
      </c>
    </row>
    <row r="57" spans="1:9">
      <c r="A57" t="s">
        <v>204</v>
      </c>
      <c r="B57" t="s">
        <v>205</v>
      </c>
      <c r="C57" t="s">
        <v>13</v>
      </c>
      <c r="D57" t="s">
        <v>78</v>
      </c>
      <c r="E57" t="s">
        <v>73</v>
      </c>
      <c r="F57" t="s">
        <v>206</v>
      </c>
      <c r="G57" t="s">
        <v>75</v>
      </c>
      <c r="H57">
        <v>0</v>
      </c>
      <c r="I57">
        <v>29</v>
      </c>
    </row>
    <row r="58" spans="1:9">
      <c r="A58" t="s">
        <v>207</v>
      </c>
      <c r="B58" t="s">
        <v>208</v>
      </c>
      <c r="C58" t="s">
        <v>47</v>
      </c>
      <c r="D58" t="s">
        <v>22</v>
      </c>
      <c r="E58" t="s">
        <v>23</v>
      </c>
      <c r="F58" t="s">
        <v>209</v>
      </c>
      <c r="G58" t="s">
        <v>25</v>
      </c>
      <c r="H58">
        <v>0</v>
      </c>
      <c r="I58">
        <v>20</v>
      </c>
    </row>
    <row r="59" spans="1:9">
      <c r="A59" t="s">
        <v>210</v>
      </c>
      <c r="B59" t="s">
        <v>211</v>
      </c>
      <c r="C59" t="s">
        <v>63</v>
      </c>
      <c r="D59" t="s">
        <v>22</v>
      </c>
      <c r="E59" t="s">
        <v>30</v>
      </c>
      <c r="F59" t="s">
        <v>212</v>
      </c>
      <c r="G59" t="s">
        <v>54</v>
      </c>
      <c r="H59">
        <v>374578</v>
      </c>
      <c r="I59">
        <v>8</v>
      </c>
    </row>
    <row r="60" spans="1:9">
      <c r="A60" t="s">
        <v>213</v>
      </c>
      <c r="B60" t="s">
        <v>214</v>
      </c>
      <c r="C60" t="s">
        <v>47</v>
      </c>
      <c r="D60" t="s">
        <v>58</v>
      </c>
      <c r="E60" t="s">
        <v>15</v>
      </c>
      <c r="F60" t="s">
        <v>215</v>
      </c>
      <c r="G60" t="s">
        <v>38</v>
      </c>
      <c r="H60">
        <v>0</v>
      </c>
      <c r="I60">
        <v>10</v>
      </c>
    </row>
    <row r="61" spans="1:9">
      <c r="A61" t="s">
        <v>216</v>
      </c>
      <c r="B61" t="s">
        <v>217</v>
      </c>
      <c r="C61" t="s">
        <v>47</v>
      </c>
      <c r="D61" t="s">
        <v>78</v>
      </c>
      <c r="E61" t="s">
        <v>23</v>
      </c>
      <c r="F61" t="s">
        <v>218</v>
      </c>
      <c r="G61" t="s">
        <v>54</v>
      </c>
      <c r="H61">
        <v>361232</v>
      </c>
      <c r="I61">
        <v>24</v>
      </c>
    </row>
    <row r="62" spans="1:9">
      <c r="A62" t="s">
        <v>219</v>
      </c>
      <c r="B62" t="s">
        <v>220</v>
      </c>
      <c r="C62" t="s">
        <v>35</v>
      </c>
      <c r="D62" t="s">
        <v>58</v>
      </c>
      <c r="E62" t="s">
        <v>23</v>
      </c>
      <c r="F62" t="s">
        <v>221</v>
      </c>
      <c r="G62" t="s">
        <v>75</v>
      </c>
      <c r="H62">
        <v>0</v>
      </c>
      <c r="I62">
        <v>25</v>
      </c>
    </row>
    <row r="63" spans="1:9">
      <c r="A63" t="s">
        <v>222</v>
      </c>
      <c r="B63" t="s">
        <v>223</v>
      </c>
      <c r="C63" t="s">
        <v>21</v>
      </c>
      <c r="D63" t="s">
        <v>22</v>
      </c>
      <c r="E63" t="s">
        <v>73</v>
      </c>
      <c r="F63" t="s">
        <v>200</v>
      </c>
      <c r="G63" t="s">
        <v>75</v>
      </c>
      <c r="H63">
        <v>0</v>
      </c>
      <c r="I63">
        <v>24</v>
      </c>
    </row>
    <row r="64" spans="1:9">
      <c r="A64" t="s">
        <v>224</v>
      </c>
      <c r="B64" t="s">
        <v>225</v>
      </c>
      <c r="C64" t="s">
        <v>47</v>
      </c>
      <c r="D64" t="s">
        <v>58</v>
      </c>
      <c r="E64" t="s">
        <v>42</v>
      </c>
      <c r="F64" t="s">
        <v>226</v>
      </c>
      <c r="G64" t="s">
        <v>25</v>
      </c>
      <c r="H64">
        <v>0</v>
      </c>
      <c r="I64">
        <v>7</v>
      </c>
    </row>
    <row r="65" spans="1:9">
      <c r="A65" t="s">
        <v>227</v>
      </c>
      <c r="B65" t="s">
        <v>228</v>
      </c>
      <c r="C65" t="s">
        <v>21</v>
      </c>
      <c r="D65" t="s">
        <v>78</v>
      </c>
      <c r="E65" t="s">
        <v>15</v>
      </c>
      <c r="F65" t="s">
        <v>229</v>
      </c>
      <c r="G65" t="s">
        <v>49</v>
      </c>
      <c r="H65">
        <v>0</v>
      </c>
      <c r="I65">
        <v>10</v>
      </c>
    </row>
    <row r="66" spans="1:9">
      <c r="A66" t="s">
        <v>230</v>
      </c>
      <c r="B66" t="s">
        <v>231</v>
      </c>
      <c r="C66" t="s">
        <v>29</v>
      </c>
      <c r="D66" t="s">
        <v>58</v>
      </c>
      <c r="E66" t="s">
        <v>23</v>
      </c>
      <c r="F66" t="s">
        <v>232</v>
      </c>
      <c r="G66" t="s">
        <v>49</v>
      </c>
      <c r="H66">
        <v>0</v>
      </c>
      <c r="I66">
        <v>13</v>
      </c>
    </row>
    <row r="67" spans="1:9">
      <c r="A67" t="s">
        <v>233</v>
      </c>
      <c r="B67" t="s">
        <v>234</v>
      </c>
      <c r="C67" t="s">
        <v>63</v>
      </c>
      <c r="D67" t="s">
        <v>58</v>
      </c>
      <c r="E67" t="s">
        <v>23</v>
      </c>
      <c r="F67" t="s">
        <v>235</v>
      </c>
      <c r="G67" t="s">
        <v>54</v>
      </c>
      <c r="H67">
        <v>102906</v>
      </c>
      <c r="I67">
        <v>30</v>
      </c>
    </row>
    <row r="68" spans="1:9">
      <c r="A68" t="s">
        <v>236</v>
      </c>
      <c r="B68" t="s">
        <v>237</v>
      </c>
      <c r="C68" t="s">
        <v>29</v>
      </c>
      <c r="D68" t="s">
        <v>22</v>
      </c>
      <c r="E68" t="s">
        <v>23</v>
      </c>
      <c r="F68" t="s">
        <v>238</v>
      </c>
      <c r="G68" t="s">
        <v>17</v>
      </c>
      <c r="H68">
        <v>0</v>
      </c>
      <c r="I68">
        <v>26</v>
      </c>
    </row>
    <row r="69" spans="1:9">
      <c r="A69" t="s">
        <v>239</v>
      </c>
      <c r="B69" t="s">
        <v>240</v>
      </c>
      <c r="C69" t="s">
        <v>21</v>
      </c>
      <c r="D69" t="s">
        <v>22</v>
      </c>
      <c r="E69" t="s">
        <v>15</v>
      </c>
      <c r="F69" t="s">
        <v>241</v>
      </c>
      <c r="G69" t="s">
        <v>17</v>
      </c>
      <c r="H69">
        <v>0</v>
      </c>
      <c r="I69">
        <v>28</v>
      </c>
    </row>
    <row r="70" spans="1:9">
      <c r="A70" t="s">
        <v>242</v>
      </c>
      <c r="B70" t="s">
        <v>243</v>
      </c>
      <c r="C70" t="s">
        <v>13</v>
      </c>
      <c r="D70" t="s">
        <v>14</v>
      </c>
      <c r="E70" t="s">
        <v>23</v>
      </c>
      <c r="F70" t="s">
        <v>244</v>
      </c>
      <c r="G70" t="s">
        <v>25</v>
      </c>
      <c r="H70">
        <v>0</v>
      </c>
      <c r="I70">
        <v>12</v>
      </c>
    </row>
    <row r="71" spans="1:9">
      <c r="A71" t="s">
        <v>245</v>
      </c>
      <c r="B71" t="s">
        <v>246</v>
      </c>
      <c r="C71" t="s">
        <v>13</v>
      </c>
      <c r="D71" t="s">
        <v>78</v>
      </c>
      <c r="E71" t="s">
        <v>73</v>
      </c>
      <c r="F71" t="s">
        <v>212</v>
      </c>
      <c r="G71" t="s">
        <v>25</v>
      </c>
      <c r="H71">
        <v>0</v>
      </c>
      <c r="I71">
        <v>1</v>
      </c>
    </row>
    <row r="72" spans="1:9">
      <c r="A72" t="s">
        <v>247</v>
      </c>
      <c r="B72" t="s">
        <v>248</v>
      </c>
      <c r="C72" t="s">
        <v>47</v>
      </c>
      <c r="D72" t="s">
        <v>78</v>
      </c>
      <c r="E72" t="s">
        <v>23</v>
      </c>
      <c r="F72" t="s">
        <v>249</v>
      </c>
      <c r="G72" t="s">
        <v>38</v>
      </c>
      <c r="H72">
        <v>0</v>
      </c>
      <c r="I72">
        <v>25</v>
      </c>
    </row>
    <row r="73" spans="1:9">
      <c r="A73" t="s">
        <v>250</v>
      </c>
      <c r="B73" t="s">
        <v>251</v>
      </c>
      <c r="C73" t="s">
        <v>63</v>
      </c>
      <c r="D73" t="s">
        <v>78</v>
      </c>
      <c r="E73" t="s">
        <v>23</v>
      </c>
      <c r="F73" t="s">
        <v>252</v>
      </c>
      <c r="G73" t="s">
        <v>49</v>
      </c>
      <c r="H73">
        <v>0</v>
      </c>
      <c r="I73">
        <v>17</v>
      </c>
    </row>
    <row r="74" spans="1:9">
      <c r="A74" t="s">
        <v>253</v>
      </c>
      <c r="B74" t="s">
        <v>254</v>
      </c>
      <c r="C74" t="s">
        <v>29</v>
      </c>
      <c r="D74" t="s">
        <v>36</v>
      </c>
      <c r="E74" t="s">
        <v>23</v>
      </c>
      <c r="F74" t="s">
        <v>255</v>
      </c>
      <c r="G74" t="s">
        <v>17</v>
      </c>
      <c r="H74">
        <v>0</v>
      </c>
      <c r="I74">
        <v>19</v>
      </c>
    </row>
    <row r="75" spans="1:9">
      <c r="A75" t="s">
        <v>256</v>
      </c>
      <c r="B75" t="s">
        <v>257</v>
      </c>
      <c r="C75" t="s">
        <v>47</v>
      </c>
      <c r="D75" t="s">
        <v>58</v>
      </c>
      <c r="E75" t="s">
        <v>73</v>
      </c>
      <c r="F75" t="s">
        <v>258</v>
      </c>
      <c r="G75" t="s">
        <v>25</v>
      </c>
      <c r="H75">
        <v>0</v>
      </c>
      <c r="I75">
        <v>2</v>
      </c>
    </row>
    <row r="76" spans="1:9">
      <c r="A76" t="s">
        <v>259</v>
      </c>
      <c r="B76" t="s">
        <v>260</v>
      </c>
      <c r="C76" t="s">
        <v>47</v>
      </c>
      <c r="D76" t="s">
        <v>36</v>
      </c>
      <c r="E76" t="s">
        <v>42</v>
      </c>
      <c r="F76" t="s">
        <v>261</v>
      </c>
      <c r="G76" t="s">
        <v>38</v>
      </c>
      <c r="H76">
        <v>0</v>
      </c>
      <c r="I76">
        <v>7</v>
      </c>
    </row>
    <row r="77" spans="1:9">
      <c r="A77" t="s">
        <v>262</v>
      </c>
      <c r="B77" t="s">
        <v>263</v>
      </c>
      <c r="C77" t="s">
        <v>21</v>
      </c>
      <c r="D77" t="s">
        <v>14</v>
      </c>
      <c r="E77" t="s">
        <v>42</v>
      </c>
      <c r="F77" t="s">
        <v>264</v>
      </c>
      <c r="G77" t="s">
        <v>25</v>
      </c>
      <c r="H77">
        <v>0</v>
      </c>
      <c r="I77">
        <v>19</v>
      </c>
    </row>
    <row r="78" spans="1:9">
      <c r="A78" t="s">
        <v>265</v>
      </c>
      <c r="B78" t="s">
        <v>266</v>
      </c>
      <c r="C78" t="s">
        <v>13</v>
      </c>
      <c r="D78" t="s">
        <v>14</v>
      </c>
      <c r="E78" t="s">
        <v>23</v>
      </c>
      <c r="F78" t="s">
        <v>267</v>
      </c>
      <c r="G78" t="s">
        <v>25</v>
      </c>
      <c r="H78">
        <v>0</v>
      </c>
      <c r="I78">
        <v>1</v>
      </c>
    </row>
    <row r="79" spans="1:9">
      <c r="A79" t="s">
        <v>268</v>
      </c>
      <c r="B79" t="s">
        <v>269</v>
      </c>
      <c r="C79" t="s">
        <v>35</v>
      </c>
      <c r="D79" t="s">
        <v>58</v>
      </c>
      <c r="E79" t="s">
        <v>73</v>
      </c>
      <c r="F79" t="s">
        <v>270</v>
      </c>
      <c r="G79" t="s">
        <v>49</v>
      </c>
      <c r="H79">
        <v>0</v>
      </c>
      <c r="I79">
        <v>17</v>
      </c>
    </row>
    <row r="80" spans="1:9">
      <c r="A80" t="s">
        <v>271</v>
      </c>
      <c r="B80" t="s">
        <v>272</v>
      </c>
      <c r="C80" t="s">
        <v>47</v>
      </c>
      <c r="D80" t="s">
        <v>78</v>
      </c>
      <c r="E80" t="s">
        <v>30</v>
      </c>
      <c r="F80" t="s">
        <v>126</v>
      </c>
      <c r="G80" t="s">
        <v>49</v>
      </c>
      <c r="H80">
        <v>0</v>
      </c>
      <c r="I80">
        <v>22</v>
      </c>
    </row>
    <row r="81" spans="1:9">
      <c r="A81" t="s">
        <v>273</v>
      </c>
      <c r="B81" t="s">
        <v>274</v>
      </c>
      <c r="C81" t="s">
        <v>47</v>
      </c>
      <c r="D81" t="s">
        <v>36</v>
      </c>
      <c r="E81" t="s">
        <v>15</v>
      </c>
      <c r="F81" t="s">
        <v>275</v>
      </c>
      <c r="G81" t="s">
        <v>49</v>
      </c>
      <c r="H81">
        <v>0</v>
      </c>
      <c r="I81">
        <v>5</v>
      </c>
    </row>
    <row r="82" spans="1:9">
      <c r="A82" t="s">
        <v>276</v>
      </c>
      <c r="B82" t="s">
        <v>277</v>
      </c>
      <c r="C82" t="s">
        <v>35</v>
      </c>
      <c r="D82" t="s">
        <v>78</v>
      </c>
      <c r="E82" t="s">
        <v>73</v>
      </c>
      <c r="F82" t="s">
        <v>278</v>
      </c>
      <c r="G82" t="s">
        <v>38</v>
      </c>
      <c r="H82">
        <v>0</v>
      </c>
      <c r="I82">
        <v>11</v>
      </c>
    </row>
    <row r="83" spans="1:9">
      <c r="A83" t="s">
        <v>279</v>
      </c>
      <c r="B83" t="s">
        <v>280</v>
      </c>
      <c r="C83" t="s">
        <v>35</v>
      </c>
      <c r="D83" t="s">
        <v>14</v>
      </c>
      <c r="E83" t="s">
        <v>73</v>
      </c>
      <c r="F83" t="s">
        <v>281</v>
      </c>
      <c r="G83" t="s">
        <v>17</v>
      </c>
      <c r="H83">
        <v>0</v>
      </c>
      <c r="I83">
        <v>27</v>
      </c>
    </row>
    <row r="84" spans="1:9">
      <c r="A84" t="s">
        <v>282</v>
      </c>
      <c r="B84" t="s">
        <v>283</v>
      </c>
      <c r="C84" t="s">
        <v>47</v>
      </c>
      <c r="D84" t="s">
        <v>58</v>
      </c>
      <c r="E84" t="s">
        <v>30</v>
      </c>
      <c r="F84" t="s">
        <v>284</v>
      </c>
      <c r="G84" t="s">
        <v>17</v>
      </c>
      <c r="H84">
        <v>0</v>
      </c>
      <c r="I84">
        <v>25</v>
      </c>
    </row>
    <row r="85" spans="1:9">
      <c r="A85" t="s">
        <v>285</v>
      </c>
      <c r="B85" t="s">
        <v>286</v>
      </c>
      <c r="C85" t="s">
        <v>29</v>
      </c>
      <c r="D85" t="s">
        <v>14</v>
      </c>
      <c r="E85" t="s">
        <v>30</v>
      </c>
      <c r="F85" t="s">
        <v>287</v>
      </c>
      <c r="G85" t="s">
        <v>75</v>
      </c>
      <c r="H85">
        <v>0</v>
      </c>
      <c r="I85">
        <v>6</v>
      </c>
    </row>
    <row r="86" spans="1:9">
      <c r="A86" t="s">
        <v>288</v>
      </c>
      <c r="B86" t="s">
        <v>289</v>
      </c>
      <c r="C86" t="s">
        <v>13</v>
      </c>
      <c r="D86" t="s">
        <v>14</v>
      </c>
      <c r="E86" t="s">
        <v>15</v>
      </c>
      <c r="F86" t="s">
        <v>43</v>
      </c>
      <c r="G86" t="s">
        <v>38</v>
      </c>
      <c r="H86">
        <v>0</v>
      </c>
      <c r="I86">
        <v>30</v>
      </c>
    </row>
    <row r="87" spans="1:9">
      <c r="A87" t="s">
        <v>290</v>
      </c>
      <c r="B87" t="s">
        <v>291</v>
      </c>
      <c r="C87" t="s">
        <v>21</v>
      </c>
      <c r="D87" t="s">
        <v>36</v>
      </c>
      <c r="E87" t="s">
        <v>15</v>
      </c>
      <c r="F87" t="s">
        <v>292</v>
      </c>
      <c r="G87" t="s">
        <v>25</v>
      </c>
      <c r="H87">
        <v>0</v>
      </c>
      <c r="I87">
        <v>24</v>
      </c>
    </row>
    <row r="88" spans="1:9">
      <c r="A88" t="s">
        <v>293</v>
      </c>
      <c r="B88" t="s">
        <v>294</v>
      </c>
      <c r="C88" t="s">
        <v>13</v>
      </c>
      <c r="D88" t="s">
        <v>78</v>
      </c>
      <c r="E88" t="s">
        <v>73</v>
      </c>
      <c r="F88" t="s">
        <v>295</v>
      </c>
      <c r="G88" t="s">
        <v>75</v>
      </c>
      <c r="H88">
        <v>0</v>
      </c>
      <c r="I88">
        <v>17</v>
      </c>
    </row>
    <row r="89" spans="1:9">
      <c r="A89" t="s">
        <v>296</v>
      </c>
      <c r="B89" t="s">
        <v>297</v>
      </c>
      <c r="C89" t="s">
        <v>63</v>
      </c>
      <c r="D89" t="s">
        <v>36</v>
      </c>
      <c r="E89" t="s">
        <v>30</v>
      </c>
      <c r="F89" t="s">
        <v>298</v>
      </c>
      <c r="G89" t="s">
        <v>75</v>
      </c>
      <c r="H89">
        <v>0</v>
      </c>
      <c r="I89">
        <v>25</v>
      </c>
    </row>
    <row r="90" spans="1:9">
      <c r="A90" t="s">
        <v>299</v>
      </c>
      <c r="B90" t="s">
        <v>300</v>
      </c>
      <c r="C90" t="s">
        <v>29</v>
      </c>
      <c r="D90" t="s">
        <v>14</v>
      </c>
      <c r="E90" t="s">
        <v>15</v>
      </c>
      <c r="F90" t="s">
        <v>301</v>
      </c>
      <c r="G90" t="s">
        <v>75</v>
      </c>
      <c r="H90">
        <v>0</v>
      </c>
      <c r="I90">
        <v>25</v>
      </c>
    </row>
    <row r="91" spans="1:9">
      <c r="A91" t="s">
        <v>302</v>
      </c>
      <c r="B91" t="s">
        <v>303</v>
      </c>
      <c r="C91" t="s">
        <v>63</v>
      </c>
      <c r="D91" t="s">
        <v>58</v>
      </c>
      <c r="E91" t="s">
        <v>30</v>
      </c>
      <c r="F91" t="s">
        <v>173</v>
      </c>
      <c r="G91" t="s">
        <v>17</v>
      </c>
      <c r="H91">
        <v>0</v>
      </c>
      <c r="I91">
        <v>13</v>
      </c>
    </row>
    <row r="92" spans="1:9">
      <c r="A92" t="s">
        <v>304</v>
      </c>
      <c r="B92" t="s">
        <v>305</v>
      </c>
      <c r="C92" t="s">
        <v>29</v>
      </c>
      <c r="D92" t="s">
        <v>14</v>
      </c>
      <c r="E92" t="s">
        <v>30</v>
      </c>
      <c r="F92" t="s">
        <v>238</v>
      </c>
      <c r="G92" t="s">
        <v>38</v>
      </c>
      <c r="H92">
        <v>0</v>
      </c>
      <c r="I92">
        <v>30</v>
      </c>
    </row>
    <row r="93" spans="1:9">
      <c r="A93" t="s">
        <v>306</v>
      </c>
      <c r="B93" t="s">
        <v>307</v>
      </c>
      <c r="C93" t="s">
        <v>13</v>
      </c>
      <c r="D93" t="s">
        <v>22</v>
      </c>
      <c r="E93" t="s">
        <v>42</v>
      </c>
      <c r="F93" t="s">
        <v>308</v>
      </c>
      <c r="G93" t="s">
        <v>38</v>
      </c>
      <c r="H93">
        <v>0</v>
      </c>
      <c r="I93">
        <v>16</v>
      </c>
    </row>
    <row r="94" spans="1:9">
      <c r="A94" t="s">
        <v>309</v>
      </c>
      <c r="B94" t="s">
        <v>310</v>
      </c>
      <c r="C94" t="s">
        <v>29</v>
      </c>
      <c r="D94" t="s">
        <v>58</v>
      </c>
      <c r="E94" t="s">
        <v>73</v>
      </c>
      <c r="F94" t="s">
        <v>264</v>
      </c>
      <c r="G94" t="s">
        <v>17</v>
      </c>
      <c r="H94">
        <v>0</v>
      </c>
      <c r="I94">
        <v>15</v>
      </c>
    </row>
    <row r="95" spans="1:9">
      <c r="A95" t="s">
        <v>311</v>
      </c>
      <c r="B95" t="s">
        <v>312</v>
      </c>
      <c r="C95" t="s">
        <v>63</v>
      </c>
      <c r="D95" t="s">
        <v>58</v>
      </c>
      <c r="E95" t="s">
        <v>42</v>
      </c>
      <c r="F95" t="s">
        <v>313</v>
      </c>
      <c r="G95" t="s">
        <v>75</v>
      </c>
      <c r="H95">
        <v>0</v>
      </c>
      <c r="I95">
        <v>18</v>
      </c>
    </row>
    <row r="96" spans="1:9">
      <c r="A96" t="s">
        <v>314</v>
      </c>
      <c r="B96" t="s">
        <v>315</v>
      </c>
      <c r="C96" t="s">
        <v>21</v>
      </c>
      <c r="D96" t="s">
        <v>78</v>
      </c>
      <c r="E96" t="s">
        <v>23</v>
      </c>
      <c r="F96" t="s">
        <v>316</v>
      </c>
      <c r="G96" t="s">
        <v>25</v>
      </c>
      <c r="H96">
        <v>0</v>
      </c>
      <c r="I96">
        <v>13</v>
      </c>
    </row>
    <row r="97" spans="1:9">
      <c r="A97" t="s">
        <v>317</v>
      </c>
      <c r="B97" t="s">
        <v>318</v>
      </c>
      <c r="C97" t="s">
        <v>13</v>
      </c>
      <c r="D97" t="s">
        <v>78</v>
      </c>
      <c r="E97" t="s">
        <v>73</v>
      </c>
      <c r="F97" t="s">
        <v>319</v>
      </c>
      <c r="G97" t="s">
        <v>75</v>
      </c>
      <c r="H97">
        <v>0</v>
      </c>
      <c r="I97">
        <v>21</v>
      </c>
    </row>
    <row r="98" spans="1:9">
      <c r="A98" t="s">
        <v>320</v>
      </c>
      <c r="B98" t="s">
        <v>321</v>
      </c>
      <c r="C98" t="s">
        <v>47</v>
      </c>
      <c r="D98" t="s">
        <v>78</v>
      </c>
      <c r="E98" t="s">
        <v>30</v>
      </c>
      <c r="F98" t="s">
        <v>322</v>
      </c>
      <c r="G98" t="s">
        <v>49</v>
      </c>
      <c r="H98">
        <v>0</v>
      </c>
      <c r="I98">
        <v>29</v>
      </c>
    </row>
    <row r="99" spans="1:9">
      <c r="A99" t="s">
        <v>323</v>
      </c>
      <c r="B99" t="s">
        <v>324</v>
      </c>
      <c r="C99" t="s">
        <v>63</v>
      </c>
      <c r="D99" t="s">
        <v>14</v>
      </c>
      <c r="E99" t="s">
        <v>30</v>
      </c>
      <c r="F99" t="s">
        <v>325</v>
      </c>
      <c r="G99" t="s">
        <v>25</v>
      </c>
      <c r="H99">
        <v>0</v>
      </c>
      <c r="I99">
        <v>11</v>
      </c>
    </row>
    <row r="100" spans="1:9">
      <c r="A100" t="s">
        <v>326</v>
      </c>
      <c r="B100" t="s">
        <v>327</v>
      </c>
      <c r="C100" t="s">
        <v>29</v>
      </c>
      <c r="D100" t="s">
        <v>36</v>
      </c>
      <c r="E100" t="s">
        <v>42</v>
      </c>
      <c r="F100" t="s">
        <v>328</v>
      </c>
      <c r="G100" t="s">
        <v>17</v>
      </c>
      <c r="H100">
        <v>0</v>
      </c>
      <c r="I100">
        <v>10</v>
      </c>
    </row>
    <row r="101" spans="1:9">
      <c r="A101" t="s">
        <v>329</v>
      </c>
      <c r="B101" t="s">
        <v>330</v>
      </c>
      <c r="C101" t="s">
        <v>21</v>
      </c>
      <c r="D101" t="s">
        <v>36</v>
      </c>
      <c r="E101" t="s">
        <v>30</v>
      </c>
      <c r="F101" t="s">
        <v>331</v>
      </c>
      <c r="G101" t="s">
        <v>54</v>
      </c>
      <c r="H101">
        <v>302921</v>
      </c>
      <c r="I101">
        <v>26</v>
      </c>
    </row>
    <row r="102" spans="1:9">
      <c r="A102" t="s">
        <v>332</v>
      </c>
      <c r="B102" t="s">
        <v>333</v>
      </c>
      <c r="C102" t="s">
        <v>63</v>
      </c>
      <c r="D102" t="s">
        <v>78</v>
      </c>
      <c r="E102" t="s">
        <v>42</v>
      </c>
      <c r="F102" t="s">
        <v>334</v>
      </c>
      <c r="G102" t="s">
        <v>49</v>
      </c>
      <c r="H102">
        <v>0</v>
      </c>
      <c r="I102">
        <v>1</v>
      </c>
    </row>
    <row r="103" spans="1:9">
      <c r="A103" t="s">
        <v>335</v>
      </c>
      <c r="B103" t="s">
        <v>336</v>
      </c>
      <c r="C103" t="s">
        <v>13</v>
      </c>
      <c r="D103" t="s">
        <v>14</v>
      </c>
      <c r="E103" t="s">
        <v>42</v>
      </c>
      <c r="F103" t="s">
        <v>337</v>
      </c>
      <c r="G103" t="s">
        <v>54</v>
      </c>
      <c r="H103">
        <v>24566</v>
      </c>
      <c r="I103">
        <v>5</v>
      </c>
    </row>
    <row r="104" spans="1:9">
      <c r="A104" t="s">
        <v>338</v>
      </c>
      <c r="B104" t="s">
        <v>339</v>
      </c>
      <c r="C104" t="s">
        <v>63</v>
      </c>
      <c r="D104" t="s">
        <v>14</v>
      </c>
      <c r="E104" t="s">
        <v>15</v>
      </c>
      <c r="F104" t="s">
        <v>340</v>
      </c>
      <c r="G104" t="s">
        <v>25</v>
      </c>
      <c r="H104">
        <v>0</v>
      </c>
      <c r="I104">
        <v>25</v>
      </c>
    </row>
    <row r="105" spans="1:9">
      <c r="A105" t="s">
        <v>341</v>
      </c>
      <c r="B105" t="s">
        <v>342</v>
      </c>
      <c r="C105" t="s">
        <v>63</v>
      </c>
      <c r="D105" t="s">
        <v>78</v>
      </c>
      <c r="E105" t="s">
        <v>73</v>
      </c>
      <c r="F105" t="s">
        <v>343</v>
      </c>
      <c r="G105" t="s">
        <v>54</v>
      </c>
      <c r="H105">
        <v>250628</v>
      </c>
      <c r="I105">
        <v>18</v>
      </c>
    </row>
    <row r="106" spans="1:9">
      <c r="A106" t="s">
        <v>344</v>
      </c>
      <c r="B106" t="s">
        <v>345</v>
      </c>
      <c r="C106" t="s">
        <v>63</v>
      </c>
      <c r="D106" t="s">
        <v>22</v>
      </c>
      <c r="E106" t="s">
        <v>73</v>
      </c>
      <c r="F106" t="s">
        <v>346</v>
      </c>
      <c r="G106" t="s">
        <v>25</v>
      </c>
      <c r="H106">
        <v>0</v>
      </c>
      <c r="I106">
        <v>19</v>
      </c>
    </row>
    <row r="107" spans="1:9">
      <c r="A107" t="s">
        <v>347</v>
      </c>
      <c r="B107" t="s">
        <v>348</v>
      </c>
      <c r="C107" t="s">
        <v>29</v>
      </c>
      <c r="D107" t="s">
        <v>14</v>
      </c>
      <c r="E107" t="s">
        <v>15</v>
      </c>
      <c r="F107" t="s">
        <v>349</v>
      </c>
      <c r="G107" t="s">
        <v>17</v>
      </c>
      <c r="H107">
        <v>0</v>
      </c>
      <c r="I107">
        <v>20</v>
      </c>
    </row>
    <row r="108" spans="1:9">
      <c r="A108" t="s">
        <v>350</v>
      </c>
      <c r="B108" t="s">
        <v>351</v>
      </c>
      <c r="C108" t="s">
        <v>21</v>
      </c>
      <c r="D108" t="s">
        <v>58</v>
      </c>
      <c r="E108" t="s">
        <v>42</v>
      </c>
      <c r="F108" t="s">
        <v>352</v>
      </c>
      <c r="G108" t="s">
        <v>49</v>
      </c>
      <c r="H108">
        <v>0</v>
      </c>
      <c r="I108">
        <v>1</v>
      </c>
    </row>
    <row r="109" spans="1:9">
      <c r="A109" t="s">
        <v>353</v>
      </c>
      <c r="B109" t="s">
        <v>354</v>
      </c>
      <c r="C109" t="s">
        <v>35</v>
      </c>
      <c r="D109" t="s">
        <v>14</v>
      </c>
      <c r="E109" t="s">
        <v>42</v>
      </c>
      <c r="F109" t="s">
        <v>355</v>
      </c>
      <c r="G109" t="s">
        <v>49</v>
      </c>
      <c r="H109">
        <v>0</v>
      </c>
      <c r="I109">
        <v>13</v>
      </c>
    </row>
    <row r="110" spans="1:9">
      <c r="A110" t="s">
        <v>356</v>
      </c>
      <c r="B110" t="s">
        <v>357</v>
      </c>
      <c r="C110" t="s">
        <v>13</v>
      </c>
      <c r="D110" t="s">
        <v>58</v>
      </c>
      <c r="E110" t="s">
        <v>23</v>
      </c>
      <c r="F110" t="s">
        <v>358</v>
      </c>
      <c r="G110" t="s">
        <v>25</v>
      </c>
      <c r="H110">
        <v>0</v>
      </c>
      <c r="I110">
        <v>5</v>
      </c>
    </row>
    <row r="111" spans="1:9">
      <c r="A111" t="s">
        <v>359</v>
      </c>
      <c r="B111" t="s">
        <v>360</v>
      </c>
      <c r="C111" t="s">
        <v>13</v>
      </c>
      <c r="D111" t="s">
        <v>58</v>
      </c>
      <c r="E111" t="s">
        <v>73</v>
      </c>
      <c r="F111" t="s">
        <v>361</v>
      </c>
      <c r="G111" t="s">
        <v>75</v>
      </c>
      <c r="H111">
        <v>0</v>
      </c>
      <c r="I111">
        <v>26</v>
      </c>
    </row>
    <row r="112" spans="1:9">
      <c r="A112" t="s">
        <v>362</v>
      </c>
      <c r="B112" t="s">
        <v>363</v>
      </c>
      <c r="C112" t="s">
        <v>21</v>
      </c>
      <c r="D112" t="s">
        <v>78</v>
      </c>
      <c r="E112" t="s">
        <v>42</v>
      </c>
      <c r="F112" t="s">
        <v>292</v>
      </c>
      <c r="G112" t="s">
        <v>54</v>
      </c>
      <c r="H112">
        <v>94806</v>
      </c>
      <c r="I112">
        <v>15</v>
      </c>
    </row>
    <row r="113" spans="1:9">
      <c r="A113" t="s">
        <v>364</v>
      </c>
      <c r="B113" t="s">
        <v>365</v>
      </c>
      <c r="C113" t="s">
        <v>21</v>
      </c>
      <c r="D113" t="s">
        <v>22</v>
      </c>
      <c r="E113" t="s">
        <v>42</v>
      </c>
      <c r="F113" t="s">
        <v>366</v>
      </c>
      <c r="G113" t="s">
        <v>38</v>
      </c>
      <c r="H113">
        <v>0</v>
      </c>
      <c r="I113">
        <v>3</v>
      </c>
    </row>
    <row r="114" spans="1:9">
      <c r="A114" t="s">
        <v>367</v>
      </c>
      <c r="B114" t="s">
        <v>368</v>
      </c>
      <c r="C114" t="s">
        <v>47</v>
      </c>
      <c r="D114" t="s">
        <v>58</v>
      </c>
      <c r="E114" t="s">
        <v>15</v>
      </c>
      <c r="F114" t="s">
        <v>369</v>
      </c>
      <c r="G114" t="s">
        <v>25</v>
      </c>
      <c r="H114">
        <v>0</v>
      </c>
      <c r="I114">
        <v>20</v>
      </c>
    </row>
    <row r="115" spans="1:9">
      <c r="A115" t="s">
        <v>370</v>
      </c>
      <c r="B115" t="s">
        <v>371</v>
      </c>
      <c r="C115" t="s">
        <v>21</v>
      </c>
      <c r="D115" t="s">
        <v>14</v>
      </c>
      <c r="E115" t="s">
        <v>15</v>
      </c>
      <c r="F115" t="s">
        <v>372</v>
      </c>
      <c r="G115" t="s">
        <v>25</v>
      </c>
      <c r="H115">
        <v>0</v>
      </c>
      <c r="I115">
        <v>19</v>
      </c>
    </row>
    <row r="116" spans="1:9">
      <c r="A116" t="s">
        <v>373</v>
      </c>
      <c r="B116" t="s">
        <v>374</v>
      </c>
      <c r="C116" t="s">
        <v>35</v>
      </c>
      <c r="D116" t="s">
        <v>22</v>
      </c>
      <c r="E116" t="s">
        <v>15</v>
      </c>
      <c r="F116" t="s">
        <v>150</v>
      </c>
      <c r="G116" t="s">
        <v>25</v>
      </c>
      <c r="H116">
        <v>0</v>
      </c>
      <c r="I116">
        <v>5</v>
      </c>
    </row>
    <row r="117" spans="1:9">
      <c r="A117" t="s">
        <v>375</v>
      </c>
      <c r="B117" t="s">
        <v>376</v>
      </c>
      <c r="C117" t="s">
        <v>35</v>
      </c>
      <c r="D117" t="s">
        <v>78</v>
      </c>
      <c r="E117" t="s">
        <v>23</v>
      </c>
      <c r="F117" t="s">
        <v>377</v>
      </c>
      <c r="G117" t="s">
        <v>75</v>
      </c>
      <c r="H117">
        <v>0</v>
      </c>
      <c r="I117">
        <v>20</v>
      </c>
    </row>
    <row r="118" spans="1:9">
      <c r="A118" t="s">
        <v>378</v>
      </c>
      <c r="B118" t="s">
        <v>379</v>
      </c>
      <c r="C118" t="s">
        <v>47</v>
      </c>
      <c r="D118" t="s">
        <v>58</v>
      </c>
      <c r="E118" t="s">
        <v>42</v>
      </c>
      <c r="F118" t="s">
        <v>380</v>
      </c>
      <c r="G118" t="s">
        <v>17</v>
      </c>
      <c r="H118">
        <v>0</v>
      </c>
      <c r="I118">
        <v>12</v>
      </c>
    </row>
    <row r="119" spans="1:9">
      <c r="A119" t="s">
        <v>381</v>
      </c>
      <c r="B119" t="s">
        <v>382</v>
      </c>
      <c r="C119" t="s">
        <v>13</v>
      </c>
      <c r="D119" t="s">
        <v>22</v>
      </c>
      <c r="E119" t="s">
        <v>15</v>
      </c>
      <c r="F119" t="s">
        <v>383</v>
      </c>
      <c r="G119" t="s">
        <v>38</v>
      </c>
      <c r="H119">
        <v>0</v>
      </c>
      <c r="I119">
        <v>2</v>
      </c>
    </row>
    <row r="120" spans="1:9">
      <c r="A120" t="s">
        <v>384</v>
      </c>
      <c r="B120" t="s">
        <v>385</v>
      </c>
      <c r="C120" t="s">
        <v>47</v>
      </c>
      <c r="D120" t="s">
        <v>58</v>
      </c>
      <c r="E120" t="s">
        <v>23</v>
      </c>
      <c r="F120" t="s">
        <v>386</v>
      </c>
      <c r="G120" t="s">
        <v>17</v>
      </c>
      <c r="H120">
        <v>0</v>
      </c>
      <c r="I120">
        <v>20</v>
      </c>
    </row>
    <row r="121" spans="1:9">
      <c r="A121" t="s">
        <v>387</v>
      </c>
      <c r="B121" t="s">
        <v>388</v>
      </c>
      <c r="C121" t="s">
        <v>21</v>
      </c>
      <c r="D121" t="s">
        <v>36</v>
      </c>
      <c r="E121" t="s">
        <v>73</v>
      </c>
      <c r="F121" t="s">
        <v>389</v>
      </c>
      <c r="G121" t="s">
        <v>54</v>
      </c>
      <c r="H121">
        <v>190034</v>
      </c>
      <c r="I121">
        <v>14</v>
      </c>
    </row>
    <row r="122" spans="1:9">
      <c r="A122" t="s">
        <v>390</v>
      </c>
      <c r="B122" t="s">
        <v>391</v>
      </c>
      <c r="C122" t="s">
        <v>29</v>
      </c>
      <c r="D122" t="s">
        <v>78</v>
      </c>
      <c r="E122" t="s">
        <v>73</v>
      </c>
      <c r="F122" t="s">
        <v>392</v>
      </c>
      <c r="G122" t="s">
        <v>17</v>
      </c>
      <c r="H122">
        <v>0</v>
      </c>
      <c r="I122">
        <v>14</v>
      </c>
    </row>
    <row r="123" spans="1:9">
      <c r="A123" t="s">
        <v>393</v>
      </c>
      <c r="B123" t="s">
        <v>394</v>
      </c>
      <c r="C123" t="s">
        <v>35</v>
      </c>
      <c r="D123" t="s">
        <v>14</v>
      </c>
      <c r="E123" t="s">
        <v>23</v>
      </c>
      <c r="F123" t="s">
        <v>395</v>
      </c>
      <c r="G123" t="s">
        <v>17</v>
      </c>
      <c r="H123">
        <v>0</v>
      </c>
      <c r="I123">
        <v>27</v>
      </c>
    </row>
    <row r="124" spans="1:9">
      <c r="A124" t="s">
        <v>396</v>
      </c>
      <c r="B124" t="s">
        <v>397</v>
      </c>
      <c r="C124" t="s">
        <v>29</v>
      </c>
      <c r="D124" t="s">
        <v>58</v>
      </c>
      <c r="E124" t="s">
        <v>15</v>
      </c>
      <c r="F124" t="s">
        <v>398</v>
      </c>
      <c r="G124" t="s">
        <v>17</v>
      </c>
      <c r="H124">
        <v>0</v>
      </c>
      <c r="I124">
        <v>12</v>
      </c>
    </row>
    <row r="125" spans="1:9">
      <c r="A125" t="s">
        <v>399</v>
      </c>
      <c r="B125" t="s">
        <v>400</v>
      </c>
      <c r="C125" t="s">
        <v>63</v>
      </c>
      <c r="D125" t="s">
        <v>78</v>
      </c>
      <c r="E125" t="s">
        <v>30</v>
      </c>
      <c r="F125" t="s">
        <v>114</v>
      </c>
      <c r="G125" t="s">
        <v>25</v>
      </c>
      <c r="H125">
        <v>0</v>
      </c>
      <c r="I125">
        <v>9</v>
      </c>
    </row>
    <row r="126" spans="1:9">
      <c r="A126" t="s">
        <v>401</v>
      </c>
      <c r="B126" t="s">
        <v>402</v>
      </c>
      <c r="C126" t="s">
        <v>21</v>
      </c>
      <c r="D126" t="s">
        <v>58</v>
      </c>
      <c r="E126" t="s">
        <v>42</v>
      </c>
      <c r="F126" t="s">
        <v>206</v>
      </c>
      <c r="G126" t="s">
        <v>38</v>
      </c>
      <c r="H126">
        <v>0</v>
      </c>
      <c r="I126">
        <v>25</v>
      </c>
    </row>
    <row r="127" spans="1:9">
      <c r="A127" t="s">
        <v>403</v>
      </c>
      <c r="B127" t="s">
        <v>404</v>
      </c>
      <c r="C127" t="s">
        <v>63</v>
      </c>
      <c r="D127" t="s">
        <v>22</v>
      </c>
      <c r="E127" t="s">
        <v>15</v>
      </c>
      <c r="F127" t="s">
        <v>405</v>
      </c>
      <c r="G127" t="s">
        <v>25</v>
      </c>
      <c r="H127">
        <v>0</v>
      </c>
      <c r="I127">
        <v>15</v>
      </c>
    </row>
    <row r="128" spans="1:9">
      <c r="A128" t="s">
        <v>406</v>
      </c>
      <c r="B128" t="s">
        <v>407</v>
      </c>
      <c r="C128" t="s">
        <v>13</v>
      </c>
      <c r="D128" t="s">
        <v>22</v>
      </c>
      <c r="E128" t="s">
        <v>15</v>
      </c>
      <c r="F128" t="s">
        <v>408</v>
      </c>
      <c r="G128" t="s">
        <v>38</v>
      </c>
      <c r="H128">
        <v>0</v>
      </c>
      <c r="I128">
        <v>26</v>
      </c>
    </row>
    <row r="129" spans="1:9">
      <c r="A129" t="s">
        <v>409</v>
      </c>
      <c r="B129" t="s">
        <v>410</v>
      </c>
      <c r="C129" t="s">
        <v>29</v>
      </c>
      <c r="D129" t="s">
        <v>36</v>
      </c>
      <c r="E129" t="s">
        <v>23</v>
      </c>
      <c r="F129" t="s">
        <v>411</v>
      </c>
      <c r="G129" t="s">
        <v>25</v>
      </c>
      <c r="H129">
        <v>0</v>
      </c>
      <c r="I129">
        <v>27</v>
      </c>
    </row>
    <row r="130" spans="1:9">
      <c r="A130" t="s">
        <v>412</v>
      </c>
      <c r="B130" t="s">
        <v>413</v>
      </c>
      <c r="C130" t="s">
        <v>35</v>
      </c>
      <c r="D130" t="s">
        <v>36</v>
      </c>
      <c r="E130" t="s">
        <v>15</v>
      </c>
      <c r="F130" t="s">
        <v>414</v>
      </c>
      <c r="G130" t="s">
        <v>75</v>
      </c>
      <c r="H130">
        <v>0</v>
      </c>
      <c r="I130">
        <v>20</v>
      </c>
    </row>
    <row r="131" spans="1:9">
      <c r="A131" t="s">
        <v>415</v>
      </c>
      <c r="B131" t="s">
        <v>416</v>
      </c>
      <c r="C131" t="s">
        <v>29</v>
      </c>
      <c r="D131" t="s">
        <v>14</v>
      </c>
      <c r="E131" t="s">
        <v>23</v>
      </c>
      <c r="F131" t="s">
        <v>179</v>
      </c>
      <c r="G131" t="s">
        <v>25</v>
      </c>
      <c r="H131">
        <v>0</v>
      </c>
      <c r="I131">
        <v>17</v>
      </c>
    </row>
    <row r="132" spans="1:9">
      <c r="A132" t="s">
        <v>417</v>
      </c>
      <c r="B132" t="s">
        <v>418</v>
      </c>
      <c r="C132" t="s">
        <v>63</v>
      </c>
      <c r="D132" t="s">
        <v>58</v>
      </c>
      <c r="E132" t="s">
        <v>73</v>
      </c>
      <c r="F132" t="s">
        <v>380</v>
      </c>
      <c r="G132" t="s">
        <v>75</v>
      </c>
      <c r="H132">
        <v>0</v>
      </c>
      <c r="I132">
        <v>1</v>
      </c>
    </row>
    <row r="133" spans="1:9">
      <c r="A133" t="s">
        <v>419</v>
      </c>
      <c r="B133" t="s">
        <v>420</v>
      </c>
      <c r="C133" t="s">
        <v>21</v>
      </c>
      <c r="D133" t="s">
        <v>22</v>
      </c>
      <c r="E133" t="s">
        <v>73</v>
      </c>
      <c r="F133" t="s">
        <v>421</v>
      </c>
      <c r="G133" t="s">
        <v>17</v>
      </c>
      <c r="H133">
        <v>0</v>
      </c>
      <c r="I133">
        <v>21</v>
      </c>
    </row>
    <row r="134" spans="1:9">
      <c r="A134" t="s">
        <v>422</v>
      </c>
      <c r="B134" t="s">
        <v>423</v>
      </c>
      <c r="C134" t="s">
        <v>13</v>
      </c>
      <c r="D134" t="s">
        <v>36</v>
      </c>
      <c r="E134" t="s">
        <v>23</v>
      </c>
      <c r="F134" t="s">
        <v>424</v>
      </c>
      <c r="G134" t="s">
        <v>75</v>
      </c>
      <c r="H134">
        <v>0</v>
      </c>
      <c r="I134">
        <v>18</v>
      </c>
    </row>
    <row r="135" spans="1:9">
      <c r="A135" t="s">
        <v>425</v>
      </c>
      <c r="B135" t="s">
        <v>426</v>
      </c>
      <c r="C135" t="s">
        <v>21</v>
      </c>
      <c r="D135" t="s">
        <v>58</v>
      </c>
      <c r="E135" t="s">
        <v>15</v>
      </c>
      <c r="F135" t="s">
        <v>427</v>
      </c>
      <c r="G135" t="s">
        <v>49</v>
      </c>
      <c r="H135">
        <v>0</v>
      </c>
      <c r="I135">
        <v>13</v>
      </c>
    </row>
    <row r="136" spans="1:9">
      <c r="A136" t="s">
        <v>428</v>
      </c>
      <c r="B136" t="s">
        <v>429</v>
      </c>
      <c r="C136" t="s">
        <v>29</v>
      </c>
      <c r="D136" t="s">
        <v>14</v>
      </c>
      <c r="E136" t="s">
        <v>23</v>
      </c>
      <c r="F136" t="s">
        <v>430</v>
      </c>
      <c r="G136" t="s">
        <v>49</v>
      </c>
      <c r="H136">
        <v>0</v>
      </c>
      <c r="I136">
        <v>18</v>
      </c>
    </row>
    <row r="137" spans="1:9">
      <c r="A137" t="s">
        <v>431</v>
      </c>
      <c r="B137" t="s">
        <v>432</v>
      </c>
      <c r="C137" t="s">
        <v>63</v>
      </c>
      <c r="D137" t="s">
        <v>36</v>
      </c>
      <c r="E137" t="s">
        <v>30</v>
      </c>
      <c r="F137" t="s">
        <v>433</v>
      </c>
      <c r="G137" t="s">
        <v>25</v>
      </c>
      <c r="H137">
        <v>0</v>
      </c>
      <c r="I137">
        <v>18</v>
      </c>
    </row>
    <row r="138" spans="1:9">
      <c r="A138" t="s">
        <v>434</v>
      </c>
      <c r="B138" t="s">
        <v>435</v>
      </c>
      <c r="C138" t="s">
        <v>29</v>
      </c>
      <c r="D138" t="s">
        <v>78</v>
      </c>
      <c r="E138" t="s">
        <v>15</v>
      </c>
      <c r="F138" t="s">
        <v>436</v>
      </c>
      <c r="G138" t="s">
        <v>54</v>
      </c>
      <c r="H138">
        <v>217883</v>
      </c>
      <c r="I138">
        <v>7</v>
      </c>
    </row>
    <row r="139" spans="1:9">
      <c r="A139" t="s">
        <v>437</v>
      </c>
      <c r="B139" t="s">
        <v>438</v>
      </c>
      <c r="C139" t="s">
        <v>35</v>
      </c>
      <c r="D139" t="s">
        <v>78</v>
      </c>
      <c r="E139" t="s">
        <v>30</v>
      </c>
      <c r="F139" t="s">
        <v>439</v>
      </c>
      <c r="G139" t="s">
        <v>75</v>
      </c>
      <c r="H139">
        <v>0</v>
      </c>
      <c r="I139">
        <v>11</v>
      </c>
    </row>
    <row r="140" spans="1:9">
      <c r="A140" t="s">
        <v>440</v>
      </c>
      <c r="B140" t="s">
        <v>441</v>
      </c>
      <c r="C140" t="s">
        <v>29</v>
      </c>
      <c r="D140" t="s">
        <v>14</v>
      </c>
      <c r="E140" t="s">
        <v>73</v>
      </c>
      <c r="F140" t="s">
        <v>442</v>
      </c>
      <c r="G140" t="s">
        <v>54</v>
      </c>
      <c r="H140">
        <v>117521</v>
      </c>
      <c r="I140">
        <v>4</v>
      </c>
    </row>
    <row r="141" spans="1:9">
      <c r="A141" t="s">
        <v>443</v>
      </c>
      <c r="B141" t="s">
        <v>444</v>
      </c>
      <c r="C141" t="s">
        <v>63</v>
      </c>
      <c r="D141" t="s">
        <v>22</v>
      </c>
      <c r="E141" t="s">
        <v>30</v>
      </c>
      <c r="F141" t="s">
        <v>445</v>
      </c>
      <c r="G141" t="s">
        <v>49</v>
      </c>
      <c r="H141">
        <v>0</v>
      </c>
      <c r="I141">
        <v>2</v>
      </c>
    </row>
    <row r="142" spans="1:9">
      <c r="A142" t="s">
        <v>446</v>
      </c>
      <c r="B142" t="s">
        <v>447</v>
      </c>
      <c r="C142" t="s">
        <v>47</v>
      </c>
      <c r="D142" t="s">
        <v>78</v>
      </c>
      <c r="E142" t="s">
        <v>73</v>
      </c>
      <c r="F142" t="s">
        <v>170</v>
      </c>
      <c r="G142" t="s">
        <v>75</v>
      </c>
      <c r="H142">
        <v>0</v>
      </c>
      <c r="I142">
        <v>12</v>
      </c>
    </row>
    <row r="143" spans="1:9">
      <c r="A143" t="s">
        <v>448</v>
      </c>
      <c r="B143" t="s">
        <v>449</v>
      </c>
      <c r="C143" t="s">
        <v>29</v>
      </c>
      <c r="D143" t="s">
        <v>14</v>
      </c>
      <c r="E143" t="s">
        <v>42</v>
      </c>
      <c r="F143" t="s">
        <v>37</v>
      </c>
      <c r="G143" t="s">
        <v>38</v>
      </c>
      <c r="H143">
        <v>0</v>
      </c>
      <c r="I143">
        <v>10</v>
      </c>
    </row>
    <row r="144" spans="1:9">
      <c r="A144" t="s">
        <v>450</v>
      </c>
      <c r="B144" t="s">
        <v>451</v>
      </c>
      <c r="C144" t="s">
        <v>21</v>
      </c>
      <c r="D144" t="s">
        <v>78</v>
      </c>
      <c r="E144" t="s">
        <v>73</v>
      </c>
      <c r="F144" t="s">
        <v>209</v>
      </c>
      <c r="G144" t="s">
        <v>17</v>
      </c>
      <c r="H144">
        <v>0</v>
      </c>
      <c r="I144">
        <v>25</v>
      </c>
    </row>
    <row r="145" spans="1:9">
      <c r="A145" t="s">
        <v>452</v>
      </c>
      <c r="B145" t="s">
        <v>453</v>
      </c>
      <c r="C145" t="s">
        <v>47</v>
      </c>
      <c r="D145" t="s">
        <v>78</v>
      </c>
      <c r="E145" t="s">
        <v>23</v>
      </c>
      <c r="F145" t="s">
        <v>408</v>
      </c>
      <c r="G145" t="s">
        <v>54</v>
      </c>
      <c r="H145">
        <v>63253</v>
      </c>
      <c r="I145">
        <v>8</v>
      </c>
    </row>
    <row r="146" spans="1:9">
      <c r="A146" t="s">
        <v>454</v>
      </c>
      <c r="B146" t="s">
        <v>455</v>
      </c>
      <c r="C146" t="s">
        <v>47</v>
      </c>
      <c r="D146" t="s">
        <v>58</v>
      </c>
      <c r="E146" t="s">
        <v>73</v>
      </c>
      <c r="F146" t="s">
        <v>456</v>
      </c>
      <c r="G146" t="s">
        <v>38</v>
      </c>
      <c r="H146">
        <v>0</v>
      </c>
      <c r="I146">
        <v>27</v>
      </c>
    </row>
    <row r="147" spans="1:9">
      <c r="A147" t="s">
        <v>457</v>
      </c>
      <c r="B147" t="s">
        <v>458</v>
      </c>
      <c r="C147" t="s">
        <v>13</v>
      </c>
      <c r="D147" t="s">
        <v>36</v>
      </c>
      <c r="E147" t="s">
        <v>23</v>
      </c>
      <c r="F147" t="s">
        <v>459</v>
      </c>
      <c r="G147" t="s">
        <v>17</v>
      </c>
      <c r="H147">
        <v>0</v>
      </c>
      <c r="I147">
        <v>28</v>
      </c>
    </row>
    <row r="148" spans="1:9">
      <c r="A148" t="s">
        <v>460</v>
      </c>
      <c r="B148" t="s">
        <v>461</v>
      </c>
      <c r="C148" t="s">
        <v>21</v>
      </c>
      <c r="D148" t="s">
        <v>36</v>
      </c>
      <c r="E148" t="s">
        <v>42</v>
      </c>
      <c r="F148" t="s">
        <v>462</v>
      </c>
      <c r="G148" t="s">
        <v>25</v>
      </c>
      <c r="H148">
        <v>0</v>
      </c>
      <c r="I148">
        <v>3</v>
      </c>
    </row>
    <row r="149" spans="1:9">
      <c r="A149" t="s">
        <v>463</v>
      </c>
      <c r="B149" t="s">
        <v>464</v>
      </c>
      <c r="C149" t="s">
        <v>21</v>
      </c>
      <c r="D149" t="s">
        <v>22</v>
      </c>
      <c r="E149" t="s">
        <v>15</v>
      </c>
      <c r="F149" t="s">
        <v>465</v>
      </c>
      <c r="G149" t="s">
        <v>25</v>
      </c>
      <c r="H149">
        <v>0</v>
      </c>
      <c r="I149">
        <v>12</v>
      </c>
    </row>
    <row r="150" spans="1:9">
      <c r="A150" t="s">
        <v>466</v>
      </c>
      <c r="B150" t="s">
        <v>467</v>
      </c>
      <c r="C150" t="s">
        <v>13</v>
      </c>
      <c r="D150" t="s">
        <v>58</v>
      </c>
      <c r="E150" t="s">
        <v>30</v>
      </c>
      <c r="F150" t="s">
        <v>322</v>
      </c>
      <c r="G150" t="s">
        <v>54</v>
      </c>
      <c r="H150">
        <v>63677</v>
      </c>
      <c r="I150">
        <v>17</v>
      </c>
    </row>
    <row r="151" spans="1:9">
      <c r="A151" t="s">
        <v>468</v>
      </c>
      <c r="B151" t="s">
        <v>469</v>
      </c>
      <c r="C151" t="s">
        <v>13</v>
      </c>
      <c r="D151" t="s">
        <v>14</v>
      </c>
      <c r="E151" t="s">
        <v>42</v>
      </c>
      <c r="F151" t="s">
        <v>126</v>
      </c>
      <c r="G151" t="s">
        <v>17</v>
      </c>
      <c r="H151">
        <v>0</v>
      </c>
      <c r="I151">
        <v>25</v>
      </c>
    </row>
    <row r="152" spans="1:9">
      <c r="A152" t="s">
        <v>470</v>
      </c>
      <c r="B152" t="s">
        <v>471</v>
      </c>
      <c r="C152" t="s">
        <v>13</v>
      </c>
      <c r="D152" t="s">
        <v>14</v>
      </c>
      <c r="E152" t="s">
        <v>23</v>
      </c>
      <c r="F152" t="s">
        <v>472</v>
      </c>
      <c r="G152" t="s">
        <v>54</v>
      </c>
      <c r="H152">
        <v>445821</v>
      </c>
      <c r="I152">
        <v>6</v>
      </c>
    </row>
    <row r="153" spans="1:9">
      <c r="A153" t="s">
        <v>473</v>
      </c>
      <c r="B153" t="s">
        <v>474</v>
      </c>
      <c r="C153" t="s">
        <v>29</v>
      </c>
      <c r="D153" t="s">
        <v>78</v>
      </c>
      <c r="E153" t="s">
        <v>42</v>
      </c>
      <c r="F153" t="s">
        <v>74</v>
      </c>
      <c r="G153" t="s">
        <v>17</v>
      </c>
      <c r="H153">
        <v>0</v>
      </c>
      <c r="I153">
        <v>20</v>
      </c>
    </row>
    <row r="154" spans="1:9">
      <c r="A154" t="s">
        <v>475</v>
      </c>
      <c r="B154" t="s">
        <v>476</v>
      </c>
      <c r="C154" t="s">
        <v>13</v>
      </c>
      <c r="D154" t="s">
        <v>58</v>
      </c>
      <c r="E154" t="s">
        <v>30</v>
      </c>
      <c r="F154" t="s">
        <v>477</v>
      </c>
      <c r="G154" t="s">
        <v>17</v>
      </c>
      <c r="H154">
        <v>0</v>
      </c>
      <c r="I154">
        <v>18</v>
      </c>
    </row>
    <row r="155" spans="1:9">
      <c r="A155" t="s">
        <v>478</v>
      </c>
      <c r="B155" t="s">
        <v>479</v>
      </c>
      <c r="C155" t="s">
        <v>13</v>
      </c>
      <c r="D155" t="s">
        <v>58</v>
      </c>
      <c r="E155" t="s">
        <v>15</v>
      </c>
      <c r="F155" t="s">
        <v>480</v>
      </c>
      <c r="G155" t="s">
        <v>75</v>
      </c>
      <c r="H155">
        <v>0</v>
      </c>
      <c r="I155">
        <v>22</v>
      </c>
    </row>
    <row r="156" spans="1:9">
      <c r="A156" t="s">
        <v>481</v>
      </c>
      <c r="B156" t="s">
        <v>482</v>
      </c>
      <c r="C156" t="s">
        <v>35</v>
      </c>
      <c r="D156" t="s">
        <v>14</v>
      </c>
      <c r="E156" t="s">
        <v>15</v>
      </c>
      <c r="F156" t="s">
        <v>84</v>
      </c>
      <c r="G156" t="s">
        <v>25</v>
      </c>
      <c r="H156">
        <v>0</v>
      </c>
      <c r="I156">
        <v>19</v>
      </c>
    </row>
    <row r="157" spans="1:9">
      <c r="A157" t="s">
        <v>483</v>
      </c>
      <c r="B157" t="s">
        <v>484</v>
      </c>
      <c r="C157" t="s">
        <v>13</v>
      </c>
      <c r="D157" t="s">
        <v>14</v>
      </c>
      <c r="E157" t="s">
        <v>42</v>
      </c>
      <c r="F157" t="s">
        <v>485</v>
      </c>
      <c r="G157" t="s">
        <v>25</v>
      </c>
      <c r="H157">
        <v>0</v>
      </c>
      <c r="I157">
        <v>11</v>
      </c>
    </row>
    <row r="158" spans="1:9">
      <c r="A158" t="s">
        <v>486</v>
      </c>
      <c r="B158" t="s">
        <v>487</v>
      </c>
      <c r="C158" t="s">
        <v>13</v>
      </c>
      <c r="D158" t="s">
        <v>36</v>
      </c>
      <c r="E158" t="s">
        <v>73</v>
      </c>
      <c r="F158" t="s">
        <v>488</v>
      </c>
      <c r="G158" t="s">
        <v>49</v>
      </c>
      <c r="H158">
        <v>0</v>
      </c>
      <c r="I158">
        <v>28</v>
      </c>
    </row>
    <row r="159" spans="1:9">
      <c r="A159" t="s">
        <v>489</v>
      </c>
      <c r="B159" t="s">
        <v>490</v>
      </c>
      <c r="C159" t="s">
        <v>47</v>
      </c>
      <c r="D159" t="s">
        <v>58</v>
      </c>
      <c r="E159" t="s">
        <v>30</v>
      </c>
      <c r="F159" t="s">
        <v>491</v>
      </c>
      <c r="G159" t="s">
        <v>38</v>
      </c>
      <c r="H159">
        <v>0</v>
      </c>
      <c r="I159">
        <v>17</v>
      </c>
    </row>
    <row r="160" spans="1:9">
      <c r="A160" t="s">
        <v>492</v>
      </c>
      <c r="B160" t="s">
        <v>493</v>
      </c>
      <c r="C160" t="s">
        <v>13</v>
      </c>
      <c r="D160" t="s">
        <v>14</v>
      </c>
      <c r="E160" t="s">
        <v>30</v>
      </c>
      <c r="F160" t="s">
        <v>494</v>
      </c>
      <c r="G160" t="s">
        <v>17</v>
      </c>
      <c r="H160">
        <v>0</v>
      </c>
      <c r="I160">
        <v>14</v>
      </c>
    </row>
    <row r="161" spans="1:9">
      <c r="A161" t="s">
        <v>495</v>
      </c>
      <c r="B161" t="s">
        <v>496</v>
      </c>
      <c r="C161" t="s">
        <v>63</v>
      </c>
      <c r="D161" t="s">
        <v>36</v>
      </c>
      <c r="E161" t="s">
        <v>23</v>
      </c>
      <c r="F161" t="s">
        <v>497</v>
      </c>
      <c r="G161" t="s">
        <v>54</v>
      </c>
      <c r="H161">
        <v>456040</v>
      </c>
      <c r="I161">
        <v>11</v>
      </c>
    </row>
    <row r="162" spans="1:9">
      <c r="A162" t="s">
        <v>498</v>
      </c>
      <c r="B162" t="s">
        <v>499</v>
      </c>
      <c r="C162" t="s">
        <v>35</v>
      </c>
      <c r="D162" t="s">
        <v>58</v>
      </c>
      <c r="E162" t="s">
        <v>73</v>
      </c>
      <c r="F162" t="s">
        <v>500</v>
      </c>
      <c r="G162" t="s">
        <v>75</v>
      </c>
      <c r="H162">
        <v>0</v>
      </c>
      <c r="I162">
        <v>29</v>
      </c>
    </row>
    <row r="163" spans="1:9">
      <c r="A163" t="s">
        <v>501</v>
      </c>
      <c r="B163" t="s">
        <v>502</v>
      </c>
      <c r="C163" t="s">
        <v>21</v>
      </c>
      <c r="D163" t="s">
        <v>78</v>
      </c>
      <c r="E163" t="s">
        <v>42</v>
      </c>
      <c r="F163" t="s">
        <v>138</v>
      </c>
      <c r="G163" t="s">
        <v>25</v>
      </c>
      <c r="H163">
        <v>0</v>
      </c>
      <c r="I163">
        <v>7</v>
      </c>
    </row>
    <row r="164" spans="1:9">
      <c r="A164" t="s">
        <v>503</v>
      </c>
      <c r="B164" t="s">
        <v>504</v>
      </c>
      <c r="C164" t="s">
        <v>29</v>
      </c>
      <c r="D164" t="s">
        <v>22</v>
      </c>
      <c r="E164" t="s">
        <v>23</v>
      </c>
      <c r="F164" t="s">
        <v>505</v>
      </c>
      <c r="G164" t="s">
        <v>38</v>
      </c>
      <c r="H164">
        <v>0</v>
      </c>
      <c r="I164">
        <v>22</v>
      </c>
    </row>
    <row r="165" spans="1:9">
      <c r="A165" t="s">
        <v>506</v>
      </c>
      <c r="B165" t="s">
        <v>507</v>
      </c>
      <c r="C165" t="s">
        <v>47</v>
      </c>
      <c r="D165" t="s">
        <v>14</v>
      </c>
      <c r="E165" t="s">
        <v>42</v>
      </c>
      <c r="F165" t="s">
        <v>433</v>
      </c>
      <c r="G165" t="s">
        <v>25</v>
      </c>
      <c r="H165">
        <v>0</v>
      </c>
      <c r="I165">
        <v>8</v>
      </c>
    </row>
    <row r="166" spans="1:9">
      <c r="A166" t="s">
        <v>508</v>
      </c>
      <c r="B166" t="s">
        <v>509</v>
      </c>
      <c r="C166" t="s">
        <v>21</v>
      </c>
      <c r="D166" t="s">
        <v>58</v>
      </c>
      <c r="E166" t="s">
        <v>30</v>
      </c>
      <c r="F166" t="s">
        <v>510</v>
      </c>
      <c r="G166" t="s">
        <v>17</v>
      </c>
      <c r="H166">
        <v>0</v>
      </c>
      <c r="I166">
        <v>8</v>
      </c>
    </row>
    <row r="167" spans="1:9">
      <c r="A167" t="s">
        <v>511</v>
      </c>
      <c r="B167" t="s">
        <v>512</v>
      </c>
      <c r="C167" t="s">
        <v>35</v>
      </c>
      <c r="D167" t="s">
        <v>58</v>
      </c>
      <c r="E167" t="s">
        <v>23</v>
      </c>
      <c r="F167" t="s">
        <v>194</v>
      </c>
      <c r="G167" t="s">
        <v>25</v>
      </c>
      <c r="H167">
        <v>0</v>
      </c>
      <c r="I167">
        <v>1</v>
      </c>
    </row>
    <row r="168" spans="1:9">
      <c r="A168" t="s">
        <v>513</v>
      </c>
      <c r="B168" t="s">
        <v>514</v>
      </c>
      <c r="C168" t="s">
        <v>35</v>
      </c>
      <c r="D168" t="s">
        <v>14</v>
      </c>
      <c r="E168" t="s">
        <v>73</v>
      </c>
      <c r="F168" t="s">
        <v>515</v>
      </c>
      <c r="G168" t="s">
        <v>25</v>
      </c>
      <c r="H168">
        <v>0</v>
      </c>
      <c r="I168">
        <v>26</v>
      </c>
    </row>
    <row r="169" spans="1:9">
      <c r="A169" t="s">
        <v>516</v>
      </c>
      <c r="B169" t="s">
        <v>517</v>
      </c>
      <c r="C169" t="s">
        <v>29</v>
      </c>
      <c r="D169" t="s">
        <v>78</v>
      </c>
      <c r="E169" t="s">
        <v>30</v>
      </c>
      <c r="F169" t="s">
        <v>518</v>
      </c>
      <c r="G169" t="s">
        <v>75</v>
      </c>
      <c r="H169">
        <v>0</v>
      </c>
      <c r="I169">
        <v>11</v>
      </c>
    </row>
    <row r="170" spans="1:9">
      <c r="A170" t="s">
        <v>519</v>
      </c>
      <c r="B170" t="s">
        <v>520</v>
      </c>
      <c r="C170" t="s">
        <v>35</v>
      </c>
      <c r="D170" t="s">
        <v>36</v>
      </c>
      <c r="E170" t="s">
        <v>30</v>
      </c>
      <c r="F170" t="s">
        <v>521</v>
      </c>
      <c r="G170" t="s">
        <v>38</v>
      </c>
      <c r="H170">
        <v>0</v>
      </c>
      <c r="I170">
        <v>13</v>
      </c>
    </row>
    <row r="171" spans="1:9">
      <c r="A171" t="s">
        <v>522</v>
      </c>
      <c r="B171" t="s">
        <v>523</v>
      </c>
      <c r="C171" t="s">
        <v>63</v>
      </c>
      <c r="D171" t="s">
        <v>58</v>
      </c>
      <c r="E171" t="s">
        <v>30</v>
      </c>
      <c r="F171" t="s">
        <v>524</v>
      </c>
      <c r="G171" t="s">
        <v>25</v>
      </c>
      <c r="H171">
        <v>0</v>
      </c>
      <c r="I171">
        <v>29</v>
      </c>
    </row>
    <row r="172" spans="1:9">
      <c r="A172" t="s">
        <v>525</v>
      </c>
      <c r="B172" t="s">
        <v>526</v>
      </c>
      <c r="C172" t="s">
        <v>29</v>
      </c>
      <c r="D172" t="s">
        <v>78</v>
      </c>
      <c r="E172" t="s">
        <v>30</v>
      </c>
      <c r="F172" t="s">
        <v>527</v>
      </c>
      <c r="G172" t="s">
        <v>38</v>
      </c>
      <c r="H172">
        <v>0</v>
      </c>
      <c r="I172">
        <v>5</v>
      </c>
    </row>
    <row r="173" spans="1:9">
      <c r="A173" t="s">
        <v>528</v>
      </c>
      <c r="B173" t="s">
        <v>529</v>
      </c>
      <c r="C173" t="s">
        <v>29</v>
      </c>
      <c r="D173" t="s">
        <v>36</v>
      </c>
      <c r="E173" t="s">
        <v>23</v>
      </c>
      <c r="F173" t="s">
        <v>530</v>
      </c>
      <c r="G173" t="s">
        <v>17</v>
      </c>
      <c r="H173">
        <v>0</v>
      </c>
      <c r="I173">
        <v>14</v>
      </c>
    </row>
    <row r="174" spans="1:9">
      <c r="A174" t="s">
        <v>531</v>
      </c>
      <c r="B174" t="s">
        <v>532</v>
      </c>
      <c r="C174" t="s">
        <v>13</v>
      </c>
      <c r="D174" t="s">
        <v>78</v>
      </c>
      <c r="E174" t="s">
        <v>42</v>
      </c>
      <c r="F174" t="s">
        <v>533</v>
      </c>
      <c r="G174" t="s">
        <v>25</v>
      </c>
      <c r="H174">
        <v>0</v>
      </c>
      <c r="I174">
        <v>26</v>
      </c>
    </row>
    <row r="175" spans="1:9">
      <c r="A175" t="s">
        <v>534</v>
      </c>
      <c r="B175" t="s">
        <v>535</v>
      </c>
      <c r="C175" t="s">
        <v>63</v>
      </c>
      <c r="D175" t="s">
        <v>78</v>
      </c>
      <c r="E175" t="s">
        <v>30</v>
      </c>
      <c r="F175" t="s">
        <v>16</v>
      </c>
      <c r="G175" t="s">
        <v>25</v>
      </c>
      <c r="H175">
        <v>0</v>
      </c>
      <c r="I175">
        <v>13</v>
      </c>
    </row>
    <row r="176" spans="1:9">
      <c r="A176" t="s">
        <v>536</v>
      </c>
      <c r="B176" t="s">
        <v>537</v>
      </c>
      <c r="C176" t="s">
        <v>21</v>
      </c>
      <c r="D176" t="s">
        <v>58</v>
      </c>
      <c r="E176" t="s">
        <v>15</v>
      </c>
      <c r="F176" t="s">
        <v>538</v>
      </c>
      <c r="G176" t="s">
        <v>38</v>
      </c>
      <c r="H176">
        <v>0</v>
      </c>
      <c r="I176">
        <v>4</v>
      </c>
    </row>
    <row r="177" spans="1:9">
      <c r="A177" t="s">
        <v>539</v>
      </c>
      <c r="B177" t="s">
        <v>540</v>
      </c>
      <c r="C177" t="s">
        <v>63</v>
      </c>
      <c r="D177" t="s">
        <v>78</v>
      </c>
      <c r="E177" t="s">
        <v>15</v>
      </c>
      <c r="F177" t="s">
        <v>352</v>
      </c>
      <c r="G177" t="s">
        <v>54</v>
      </c>
      <c r="H177">
        <v>21722</v>
      </c>
      <c r="I177">
        <v>29</v>
      </c>
    </row>
    <row r="178" spans="1:9">
      <c r="A178" t="s">
        <v>541</v>
      </c>
      <c r="B178" t="s">
        <v>542</v>
      </c>
      <c r="C178" t="s">
        <v>21</v>
      </c>
      <c r="D178" t="s">
        <v>22</v>
      </c>
      <c r="E178" t="s">
        <v>73</v>
      </c>
      <c r="F178" t="s">
        <v>543</v>
      </c>
      <c r="G178" t="s">
        <v>54</v>
      </c>
      <c r="H178">
        <v>29254</v>
      </c>
      <c r="I178">
        <v>30</v>
      </c>
    </row>
    <row r="179" spans="1:9">
      <c r="A179" t="s">
        <v>544</v>
      </c>
      <c r="B179" t="s">
        <v>545</v>
      </c>
      <c r="C179" t="s">
        <v>13</v>
      </c>
      <c r="D179" t="s">
        <v>14</v>
      </c>
      <c r="E179" t="s">
        <v>73</v>
      </c>
      <c r="F179" t="s">
        <v>48</v>
      </c>
      <c r="G179" t="s">
        <v>49</v>
      </c>
      <c r="H179">
        <v>0</v>
      </c>
      <c r="I179">
        <v>10</v>
      </c>
    </row>
    <row r="180" spans="1:9">
      <c r="A180" t="s">
        <v>546</v>
      </c>
      <c r="B180" t="s">
        <v>547</v>
      </c>
      <c r="C180" t="s">
        <v>21</v>
      </c>
      <c r="D180" t="s">
        <v>14</v>
      </c>
      <c r="E180" t="s">
        <v>30</v>
      </c>
      <c r="F180" t="s">
        <v>548</v>
      </c>
      <c r="G180" t="s">
        <v>25</v>
      </c>
      <c r="H180">
        <v>0</v>
      </c>
      <c r="I180">
        <v>8</v>
      </c>
    </row>
    <row r="181" spans="1:9">
      <c r="A181" t="s">
        <v>549</v>
      </c>
      <c r="B181" t="s">
        <v>550</v>
      </c>
      <c r="C181" t="s">
        <v>63</v>
      </c>
      <c r="D181" t="s">
        <v>14</v>
      </c>
      <c r="E181" t="s">
        <v>23</v>
      </c>
      <c r="F181" t="s">
        <v>551</v>
      </c>
      <c r="G181" t="s">
        <v>17</v>
      </c>
      <c r="H181">
        <v>0</v>
      </c>
      <c r="I181">
        <v>17</v>
      </c>
    </row>
    <row r="182" spans="1:9">
      <c r="A182" t="s">
        <v>552</v>
      </c>
      <c r="B182" t="s">
        <v>553</v>
      </c>
      <c r="C182" t="s">
        <v>63</v>
      </c>
      <c r="D182" t="s">
        <v>36</v>
      </c>
      <c r="E182" t="s">
        <v>30</v>
      </c>
      <c r="F182" t="s">
        <v>554</v>
      </c>
      <c r="G182" t="s">
        <v>54</v>
      </c>
      <c r="H182">
        <v>418470</v>
      </c>
      <c r="I182">
        <v>5</v>
      </c>
    </row>
    <row r="183" spans="1:9">
      <c r="A183" t="s">
        <v>555</v>
      </c>
      <c r="B183" t="s">
        <v>556</v>
      </c>
      <c r="C183" t="s">
        <v>13</v>
      </c>
      <c r="D183" t="s">
        <v>58</v>
      </c>
      <c r="E183" t="s">
        <v>15</v>
      </c>
      <c r="F183" t="s">
        <v>150</v>
      </c>
      <c r="G183" t="s">
        <v>75</v>
      </c>
      <c r="H183">
        <v>0</v>
      </c>
      <c r="I183">
        <v>19</v>
      </c>
    </row>
    <row r="184" spans="1:9">
      <c r="A184" t="s">
        <v>557</v>
      </c>
      <c r="B184" t="s">
        <v>558</v>
      </c>
      <c r="C184" t="s">
        <v>35</v>
      </c>
      <c r="D184" t="s">
        <v>14</v>
      </c>
      <c r="E184" t="s">
        <v>15</v>
      </c>
      <c r="F184" t="s">
        <v>559</v>
      </c>
      <c r="G184" t="s">
        <v>38</v>
      </c>
      <c r="H184">
        <v>0</v>
      </c>
      <c r="I184">
        <v>15</v>
      </c>
    </row>
    <row r="185" spans="1:9">
      <c r="A185" t="s">
        <v>560</v>
      </c>
      <c r="B185" t="s">
        <v>561</v>
      </c>
      <c r="C185" t="s">
        <v>47</v>
      </c>
      <c r="D185" t="s">
        <v>78</v>
      </c>
      <c r="E185" t="s">
        <v>42</v>
      </c>
      <c r="F185" t="s">
        <v>562</v>
      </c>
      <c r="G185" t="s">
        <v>17</v>
      </c>
      <c r="H185">
        <v>0</v>
      </c>
      <c r="I185">
        <v>7</v>
      </c>
    </row>
    <row r="186" spans="1:9">
      <c r="A186" t="s">
        <v>563</v>
      </c>
      <c r="B186" t="s">
        <v>564</v>
      </c>
      <c r="C186" t="s">
        <v>21</v>
      </c>
      <c r="D186" t="s">
        <v>22</v>
      </c>
      <c r="E186" t="s">
        <v>30</v>
      </c>
      <c r="F186" t="s">
        <v>565</v>
      </c>
      <c r="G186" t="s">
        <v>38</v>
      </c>
      <c r="H186">
        <v>0</v>
      </c>
      <c r="I186">
        <v>28</v>
      </c>
    </row>
    <row r="187" spans="1:9">
      <c r="A187" t="s">
        <v>566</v>
      </c>
      <c r="B187" t="s">
        <v>567</v>
      </c>
      <c r="C187" t="s">
        <v>63</v>
      </c>
      <c r="D187" t="s">
        <v>14</v>
      </c>
      <c r="E187" t="s">
        <v>42</v>
      </c>
      <c r="F187" t="s">
        <v>568</v>
      </c>
      <c r="G187" t="s">
        <v>17</v>
      </c>
      <c r="H187">
        <v>0</v>
      </c>
      <c r="I187">
        <v>13</v>
      </c>
    </row>
    <row r="188" spans="1:9">
      <c r="A188" t="s">
        <v>569</v>
      </c>
      <c r="B188" t="s">
        <v>570</v>
      </c>
      <c r="C188" t="s">
        <v>29</v>
      </c>
      <c r="D188" t="s">
        <v>36</v>
      </c>
      <c r="E188" t="s">
        <v>30</v>
      </c>
      <c r="F188" t="s">
        <v>571</v>
      </c>
      <c r="G188" t="s">
        <v>49</v>
      </c>
      <c r="H188">
        <v>0</v>
      </c>
      <c r="I188">
        <v>9</v>
      </c>
    </row>
    <row r="189" spans="1:9">
      <c r="A189" t="s">
        <v>572</v>
      </c>
      <c r="B189" t="s">
        <v>573</v>
      </c>
      <c r="C189" t="s">
        <v>63</v>
      </c>
      <c r="D189" t="s">
        <v>58</v>
      </c>
      <c r="E189" t="s">
        <v>23</v>
      </c>
      <c r="F189" t="s">
        <v>574</v>
      </c>
      <c r="G189" t="s">
        <v>38</v>
      </c>
      <c r="H189">
        <v>0</v>
      </c>
      <c r="I189">
        <v>8</v>
      </c>
    </row>
    <row r="190" spans="1:9">
      <c r="A190" t="s">
        <v>575</v>
      </c>
      <c r="B190" t="s">
        <v>576</v>
      </c>
      <c r="C190" t="s">
        <v>29</v>
      </c>
      <c r="D190" t="s">
        <v>22</v>
      </c>
      <c r="E190" t="s">
        <v>15</v>
      </c>
      <c r="F190" t="s">
        <v>577</v>
      </c>
      <c r="G190" t="s">
        <v>49</v>
      </c>
      <c r="H190">
        <v>0</v>
      </c>
      <c r="I190">
        <v>22</v>
      </c>
    </row>
    <row r="191" spans="1:9">
      <c r="A191" t="s">
        <v>578</v>
      </c>
      <c r="B191" t="s">
        <v>579</v>
      </c>
      <c r="C191" t="s">
        <v>35</v>
      </c>
      <c r="D191" t="s">
        <v>58</v>
      </c>
      <c r="E191" t="s">
        <v>30</v>
      </c>
      <c r="F191" t="s">
        <v>340</v>
      </c>
      <c r="G191" t="s">
        <v>49</v>
      </c>
      <c r="H191">
        <v>0</v>
      </c>
      <c r="I191">
        <v>21</v>
      </c>
    </row>
    <row r="192" spans="1:9">
      <c r="A192" t="s">
        <v>580</v>
      </c>
      <c r="B192" t="s">
        <v>581</v>
      </c>
      <c r="C192" t="s">
        <v>47</v>
      </c>
      <c r="D192" t="s">
        <v>14</v>
      </c>
      <c r="E192" t="s">
        <v>73</v>
      </c>
      <c r="F192" t="s">
        <v>16</v>
      </c>
      <c r="G192" t="s">
        <v>54</v>
      </c>
      <c r="H192">
        <v>152525</v>
      </c>
      <c r="I192">
        <v>5</v>
      </c>
    </row>
    <row r="193" spans="1:9">
      <c r="A193" t="s">
        <v>582</v>
      </c>
      <c r="B193" t="s">
        <v>583</v>
      </c>
      <c r="C193" t="s">
        <v>21</v>
      </c>
      <c r="D193" t="s">
        <v>14</v>
      </c>
      <c r="E193" t="s">
        <v>30</v>
      </c>
      <c r="F193" t="s">
        <v>238</v>
      </c>
      <c r="G193" t="s">
        <v>38</v>
      </c>
      <c r="H193">
        <v>0</v>
      </c>
      <c r="I193">
        <v>5</v>
      </c>
    </row>
    <row r="194" spans="1:9">
      <c r="A194" t="s">
        <v>584</v>
      </c>
      <c r="B194" t="s">
        <v>585</v>
      </c>
      <c r="C194" t="s">
        <v>29</v>
      </c>
      <c r="D194" t="s">
        <v>22</v>
      </c>
      <c r="E194" t="s">
        <v>30</v>
      </c>
      <c r="F194" t="s">
        <v>586</v>
      </c>
      <c r="G194" t="s">
        <v>75</v>
      </c>
      <c r="H194">
        <v>0</v>
      </c>
      <c r="I194">
        <v>18</v>
      </c>
    </row>
    <row r="195" spans="1:9">
      <c r="A195" t="s">
        <v>587</v>
      </c>
      <c r="B195" t="s">
        <v>588</v>
      </c>
      <c r="C195" t="s">
        <v>47</v>
      </c>
      <c r="D195" t="s">
        <v>22</v>
      </c>
      <c r="E195" t="s">
        <v>42</v>
      </c>
      <c r="F195" t="s">
        <v>533</v>
      </c>
      <c r="G195" t="s">
        <v>54</v>
      </c>
      <c r="H195">
        <v>473354</v>
      </c>
      <c r="I195">
        <v>10</v>
      </c>
    </row>
    <row r="196" spans="1:9">
      <c r="A196" t="s">
        <v>589</v>
      </c>
      <c r="B196" t="s">
        <v>590</v>
      </c>
      <c r="C196" t="s">
        <v>29</v>
      </c>
      <c r="D196" t="s">
        <v>36</v>
      </c>
      <c r="E196" t="s">
        <v>15</v>
      </c>
      <c r="F196" t="s">
        <v>591</v>
      </c>
      <c r="G196" t="s">
        <v>75</v>
      </c>
      <c r="H196">
        <v>0</v>
      </c>
      <c r="I196">
        <v>1</v>
      </c>
    </row>
    <row r="197" spans="1:9">
      <c r="A197" t="s">
        <v>592</v>
      </c>
      <c r="B197" t="s">
        <v>593</v>
      </c>
      <c r="C197" t="s">
        <v>21</v>
      </c>
      <c r="D197" t="s">
        <v>22</v>
      </c>
      <c r="E197" t="s">
        <v>23</v>
      </c>
      <c r="F197" t="s">
        <v>594</v>
      </c>
      <c r="G197" t="s">
        <v>38</v>
      </c>
      <c r="H197">
        <v>0</v>
      </c>
      <c r="I197">
        <v>19</v>
      </c>
    </row>
    <row r="198" spans="1:9">
      <c r="A198" t="s">
        <v>595</v>
      </c>
      <c r="B198" t="s">
        <v>596</v>
      </c>
      <c r="C198" t="s">
        <v>21</v>
      </c>
      <c r="D198" t="s">
        <v>58</v>
      </c>
      <c r="E198" t="s">
        <v>73</v>
      </c>
      <c r="F198" t="s">
        <v>597</v>
      </c>
      <c r="G198" t="s">
        <v>54</v>
      </c>
      <c r="H198">
        <v>409274</v>
      </c>
      <c r="I198">
        <v>11</v>
      </c>
    </row>
    <row r="199" spans="1:9">
      <c r="A199" t="s">
        <v>598</v>
      </c>
      <c r="B199" t="s">
        <v>599</v>
      </c>
      <c r="C199" t="s">
        <v>21</v>
      </c>
      <c r="D199" t="s">
        <v>14</v>
      </c>
      <c r="E199" t="s">
        <v>73</v>
      </c>
      <c r="F199" t="s">
        <v>600</v>
      </c>
      <c r="G199" t="s">
        <v>54</v>
      </c>
      <c r="H199">
        <v>320103</v>
      </c>
      <c r="I199">
        <v>6</v>
      </c>
    </row>
    <row r="200" spans="1:9">
      <c r="A200" t="s">
        <v>601</v>
      </c>
      <c r="B200" t="s">
        <v>602</v>
      </c>
      <c r="C200" t="s">
        <v>63</v>
      </c>
      <c r="D200" t="s">
        <v>14</v>
      </c>
      <c r="E200" t="s">
        <v>73</v>
      </c>
      <c r="F200" t="s">
        <v>191</v>
      </c>
      <c r="G200" t="s">
        <v>54</v>
      </c>
      <c r="H200">
        <v>85788</v>
      </c>
      <c r="I200">
        <v>11</v>
      </c>
    </row>
    <row r="201" spans="1:9">
      <c r="A201" t="s">
        <v>603</v>
      </c>
      <c r="B201" t="s">
        <v>604</v>
      </c>
      <c r="C201" t="s">
        <v>63</v>
      </c>
      <c r="D201" t="s">
        <v>58</v>
      </c>
      <c r="E201" t="s">
        <v>15</v>
      </c>
      <c r="F201" t="s">
        <v>605</v>
      </c>
      <c r="G201" t="s">
        <v>38</v>
      </c>
      <c r="H201">
        <v>0</v>
      </c>
      <c r="I201">
        <v>13</v>
      </c>
    </row>
    <row r="202" spans="1:9">
      <c r="A202" t="s">
        <v>606</v>
      </c>
      <c r="B202" t="s">
        <v>607</v>
      </c>
      <c r="C202" t="s">
        <v>47</v>
      </c>
      <c r="D202" t="s">
        <v>78</v>
      </c>
      <c r="E202" t="s">
        <v>30</v>
      </c>
      <c r="F202" t="s">
        <v>608</v>
      </c>
      <c r="G202" t="s">
        <v>17</v>
      </c>
      <c r="H202">
        <v>0</v>
      </c>
      <c r="I202">
        <v>14</v>
      </c>
    </row>
    <row r="203" spans="1:9">
      <c r="A203" t="s">
        <v>609</v>
      </c>
      <c r="B203" t="s">
        <v>610</v>
      </c>
      <c r="C203" t="s">
        <v>63</v>
      </c>
      <c r="D203" t="s">
        <v>14</v>
      </c>
      <c r="E203" t="s">
        <v>30</v>
      </c>
      <c r="F203" t="s">
        <v>611</v>
      </c>
      <c r="G203" t="s">
        <v>75</v>
      </c>
      <c r="H203">
        <v>0</v>
      </c>
      <c r="I203">
        <v>30</v>
      </c>
    </row>
    <row r="204" spans="1:9">
      <c r="A204" t="s">
        <v>612</v>
      </c>
      <c r="B204" t="s">
        <v>613</v>
      </c>
      <c r="C204" t="s">
        <v>29</v>
      </c>
      <c r="D204" t="s">
        <v>78</v>
      </c>
      <c r="E204" t="s">
        <v>42</v>
      </c>
      <c r="F204" t="s">
        <v>334</v>
      </c>
      <c r="G204" t="s">
        <v>17</v>
      </c>
      <c r="H204">
        <v>0</v>
      </c>
      <c r="I204">
        <v>22</v>
      </c>
    </row>
    <row r="205" spans="1:9">
      <c r="A205" t="s">
        <v>614</v>
      </c>
      <c r="B205" t="s">
        <v>615</v>
      </c>
      <c r="C205" t="s">
        <v>63</v>
      </c>
      <c r="D205" t="s">
        <v>14</v>
      </c>
      <c r="E205" t="s">
        <v>15</v>
      </c>
      <c r="F205" t="s">
        <v>616</v>
      </c>
      <c r="G205" t="s">
        <v>75</v>
      </c>
      <c r="H205">
        <v>0</v>
      </c>
      <c r="I205">
        <v>19</v>
      </c>
    </row>
    <row r="206" spans="1:9">
      <c r="A206" t="s">
        <v>617</v>
      </c>
      <c r="B206" t="s">
        <v>618</v>
      </c>
      <c r="C206" t="s">
        <v>21</v>
      </c>
      <c r="D206" t="s">
        <v>36</v>
      </c>
      <c r="E206" t="s">
        <v>23</v>
      </c>
      <c r="F206" t="s">
        <v>619</v>
      </c>
      <c r="G206" t="s">
        <v>54</v>
      </c>
      <c r="H206">
        <v>194399</v>
      </c>
      <c r="I206">
        <v>30</v>
      </c>
    </row>
    <row r="207" spans="1:9">
      <c r="A207" t="s">
        <v>620</v>
      </c>
      <c r="B207" t="s">
        <v>621</v>
      </c>
      <c r="C207" t="s">
        <v>35</v>
      </c>
      <c r="D207" t="s">
        <v>58</v>
      </c>
      <c r="E207" t="s">
        <v>73</v>
      </c>
      <c r="F207" t="s">
        <v>622</v>
      </c>
      <c r="G207" t="s">
        <v>75</v>
      </c>
      <c r="H207">
        <v>0</v>
      </c>
      <c r="I207">
        <v>7</v>
      </c>
    </row>
    <row r="208" spans="1:9">
      <c r="A208" t="s">
        <v>623</v>
      </c>
      <c r="B208" t="s">
        <v>624</v>
      </c>
      <c r="C208" t="s">
        <v>21</v>
      </c>
      <c r="D208" t="s">
        <v>58</v>
      </c>
      <c r="E208" t="s">
        <v>42</v>
      </c>
      <c r="F208" t="s">
        <v>625</v>
      </c>
      <c r="G208" t="s">
        <v>17</v>
      </c>
      <c r="H208">
        <v>0</v>
      </c>
      <c r="I208">
        <v>4</v>
      </c>
    </row>
    <row r="209" spans="1:9">
      <c r="A209" t="s">
        <v>626</v>
      </c>
      <c r="B209" t="s">
        <v>627</v>
      </c>
      <c r="C209" t="s">
        <v>13</v>
      </c>
      <c r="D209" t="s">
        <v>22</v>
      </c>
      <c r="E209" t="s">
        <v>30</v>
      </c>
      <c r="F209" t="s">
        <v>200</v>
      </c>
      <c r="G209" t="s">
        <v>49</v>
      </c>
      <c r="H209">
        <v>0</v>
      </c>
      <c r="I209">
        <v>20</v>
      </c>
    </row>
    <row r="210" spans="1:9">
      <c r="A210" t="s">
        <v>628</v>
      </c>
      <c r="B210" t="s">
        <v>629</v>
      </c>
      <c r="C210" t="s">
        <v>29</v>
      </c>
      <c r="D210" t="s">
        <v>14</v>
      </c>
      <c r="E210" t="s">
        <v>23</v>
      </c>
      <c r="F210" t="s">
        <v>405</v>
      </c>
      <c r="G210" t="s">
        <v>49</v>
      </c>
      <c r="H210">
        <v>0</v>
      </c>
      <c r="I210">
        <v>25</v>
      </c>
    </row>
    <row r="211" spans="1:9">
      <c r="A211" t="s">
        <v>630</v>
      </c>
      <c r="B211" t="s">
        <v>631</v>
      </c>
      <c r="C211" t="s">
        <v>29</v>
      </c>
      <c r="D211" t="s">
        <v>14</v>
      </c>
      <c r="E211" t="s">
        <v>30</v>
      </c>
      <c r="F211" t="s">
        <v>414</v>
      </c>
      <c r="G211" t="s">
        <v>75</v>
      </c>
      <c r="H211">
        <v>0</v>
      </c>
      <c r="I211">
        <v>24</v>
      </c>
    </row>
    <row r="212" spans="1:9">
      <c r="A212" t="s">
        <v>632</v>
      </c>
      <c r="B212" t="s">
        <v>633</v>
      </c>
      <c r="C212" t="s">
        <v>29</v>
      </c>
      <c r="D212" t="s">
        <v>36</v>
      </c>
      <c r="E212" t="s">
        <v>73</v>
      </c>
      <c r="F212" t="s">
        <v>430</v>
      </c>
      <c r="G212" t="s">
        <v>54</v>
      </c>
      <c r="H212">
        <v>274038</v>
      </c>
      <c r="I212">
        <v>8</v>
      </c>
    </row>
    <row r="213" spans="1:9">
      <c r="A213" t="s">
        <v>634</v>
      </c>
      <c r="B213" t="s">
        <v>635</v>
      </c>
      <c r="C213" t="s">
        <v>63</v>
      </c>
      <c r="D213" t="s">
        <v>14</v>
      </c>
      <c r="E213" t="s">
        <v>23</v>
      </c>
      <c r="F213" t="s">
        <v>608</v>
      </c>
      <c r="G213" t="s">
        <v>25</v>
      </c>
      <c r="H213">
        <v>0</v>
      </c>
      <c r="I213">
        <v>7</v>
      </c>
    </row>
    <row r="214" spans="1:9">
      <c r="A214" t="s">
        <v>636</v>
      </c>
      <c r="B214" t="s">
        <v>637</v>
      </c>
      <c r="C214" t="s">
        <v>35</v>
      </c>
      <c r="D214" t="s">
        <v>58</v>
      </c>
      <c r="E214" t="s">
        <v>73</v>
      </c>
      <c r="F214" t="s">
        <v>638</v>
      </c>
      <c r="G214" t="s">
        <v>75</v>
      </c>
      <c r="H214">
        <v>0</v>
      </c>
      <c r="I214">
        <v>23</v>
      </c>
    </row>
    <row r="215" spans="1:9">
      <c r="A215" t="s">
        <v>639</v>
      </c>
      <c r="B215" t="s">
        <v>640</v>
      </c>
      <c r="C215" t="s">
        <v>29</v>
      </c>
      <c r="D215" t="s">
        <v>22</v>
      </c>
      <c r="E215" t="s">
        <v>23</v>
      </c>
      <c r="F215" t="s">
        <v>641</v>
      </c>
      <c r="G215" t="s">
        <v>17</v>
      </c>
      <c r="H215">
        <v>0</v>
      </c>
      <c r="I215">
        <v>10</v>
      </c>
    </row>
    <row r="216" spans="1:9">
      <c r="A216" t="s">
        <v>642</v>
      </c>
      <c r="B216" t="s">
        <v>643</v>
      </c>
      <c r="C216" t="s">
        <v>13</v>
      </c>
      <c r="D216" t="s">
        <v>78</v>
      </c>
      <c r="E216" t="s">
        <v>23</v>
      </c>
      <c r="F216" t="s">
        <v>616</v>
      </c>
      <c r="G216" t="s">
        <v>49</v>
      </c>
      <c r="H216">
        <v>0</v>
      </c>
      <c r="I216">
        <v>4</v>
      </c>
    </row>
    <row r="217" spans="1:9">
      <c r="A217" t="s">
        <v>644</v>
      </c>
      <c r="B217" t="s">
        <v>645</v>
      </c>
      <c r="C217" t="s">
        <v>21</v>
      </c>
      <c r="D217" t="s">
        <v>22</v>
      </c>
      <c r="E217" t="s">
        <v>42</v>
      </c>
      <c r="F217" t="s">
        <v>646</v>
      </c>
      <c r="G217" t="s">
        <v>75</v>
      </c>
      <c r="H217">
        <v>0</v>
      </c>
      <c r="I217">
        <v>20</v>
      </c>
    </row>
    <row r="218" spans="1:9">
      <c r="A218" t="s">
        <v>647</v>
      </c>
      <c r="B218" t="s">
        <v>648</v>
      </c>
      <c r="C218" t="s">
        <v>21</v>
      </c>
      <c r="D218" t="s">
        <v>14</v>
      </c>
      <c r="E218" t="s">
        <v>73</v>
      </c>
      <c r="F218" t="s">
        <v>649</v>
      </c>
      <c r="G218" t="s">
        <v>25</v>
      </c>
      <c r="H218">
        <v>0</v>
      </c>
      <c r="I218">
        <v>4</v>
      </c>
    </row>
    <row r="219" spans="1:9">
      <c r="A219" t="s">
        <v>650</v>
      </c>
      <c r="B219" t="s">
        <v>651</v>
      </c>
      <c r="C219" t="s">
        <v>29</v>
      </c>
      <c r="D219" t="s">
        <v>58</v>
      </c>
      <c r="E219" t="s">
        <v>73</v>
      </c>
      <c r="F219" t="s">
        <v>90</v>
      </c>
      <c r="G219" t="s">
        <v>38</v>
      </c>
      <c r="H219">
        <v>0</v>
      </c>
      <c r="I219">
        <v>24</v>
      </c>
    </row>
    <row r="220" spans="1:9">
      <c r="A220" t="s">
        <v>652</v>
      </c>
      <c r="B220" t="s">
        <v>653</v>
      </c>
      <c r="C220" t="s">
        <v>13</v>
      </c>
      <c r="D220" t="s">
        <v>22</v>
      </c>
      <c r="E220" t="s">
        <v>73</v>
      </c>
      <c r="F220" t="s">
        <v>129</v>
      </c>
      <c r="G220" t="s">
        <v>17</v>
      </c>
      <c r="H220">
        <v>0</v>
      </c>
      <c r="I220">
        <v>25</v>
      </c>
    </row>
    <row r="221" spans="1:9">
      <c r="A221" t="s">
        <v>654</v>
      </c>
      <c r="B221" t="s">
        <v>655</v>
      </c>
      <c r="C221" t="s">
        <v>47</v>
      </c>
      <c r="D221" t="s">
        <v>14</v>
      </c>
      <c r="E221" t="s">
        <v>42</v>
      </c>
      <c r="F221" t="s">
        <v>48</v>
      </c>
      <c r="G221" t="s">
        <v>49</v>
      </c>
      <c r="H221">
        <v>0</v>
      </c>
      <c r="I221">
        <v>18</v>
      </c>
    </row>
    <row r="222" spans="1:9">
      <c r="A222" t="s">
        <v>656</v>
      </c>
      <c r="B222" t="s">
        <v>657</v>
      </c>
      <c r="C222" t="s">
        <v>21</v>
      </c>
      <c r="D222" t="s">
        <v>58</v>
      </c>
      <c r="E222" t="s">
        <v>30</v>
      </c>
      <c r="F222" t="s">
        <v>355</v>
      </c>
      <c r="G222" t="s">
        <v>38</v>
      </c>
      <c r="H222">
        <v>0</v>
      </c>
      <c r="I222">
        <v>29</v>
      </c>
    </row>
    <row r="223" spans="1:9">
      <c r="A223" t="s">
        <v>658</v>
      </c>
      <c r="B223" t="s">
        <v>659</v>
      </c>
      <c r="C223" t="s">
        <v>35</v>
      </c>
      <c r="D223" t="s">
        <v>78</v>
      </c>
      <c r="E223" t="s">
        <v>42</v>
      </c>
      <c r="F223" t="s">
        <v>660</v>
      </c>
      <c r="G223" t="s">
        <v>38</v>
      </c>
      <c r="H223">
        <v>0</v>
      </c>
      <c r="I223">
        <v>17</v>
      </c>
    </row>
    <row r="224" spans="1:9">
      <c r="A224" t="s">
        <v>661</v>
      </c>
      <c r="B224" t="s">
        <v>662</v>
      </c>
      <c r="C224" t="s">
        <v>29</v>
      </c>
      <c r="D224" t="s">
        <v>36</v>
      </c>
      <c r="E224" t="s">
        <v>42</v>
      </c>
      <c r="F224" t="s">
        <v>524</v>
      </c>
      <c r="G224" t="s">
        <v>25</v>
      </c>
      <c r="H224">
        <v>0</v>
      </c>
      <c r="I224">
        <v>22</v>
      </c>
    </row>
    <row r="225" spans="1:9">
      <c r="A225" t="s">
        <v>663</v>
      </c>
      <c r="B225" t="s">
        <v>664</v>
      </c>
      <c r="C225" t="s">
        <v>35</v>
      </c>
      <c r="D225" t="s">
        <v>14</v>
      </c>
      <c r="E225" t="s">
        <v>15</v>
      </c>
      <c r="F225" t="s">
        <v>665</v>
      </c>
      <c r="G225" t="s">
        <v>49</v>
      </c>
      <c r="H225">
        <v>0</v>
      </c>
      <c r="I225">
        <v>3</v>
      </c>
    </row>
    <row r="226" spans="1:9">
      <c r="A226" t="s">
        <v>666</v>
      </c>
      <c r="B226" t="s">
        <v>667</v>
      </c>
      <c r="C226" t="s">
        <v>47</v>
      </c>
      <c r="D226" t="s">
        <v>58</v>
      </c>
      <c r="E226" t="s">
        <v>15</v>
      </c>
      <c r="F226" t="s">
        <v>668</v>
      </c>
      <c r="G226" t="s">
        <v>49</v>
      </c>
      <c r="H226">
        <v>0</v>
      </c>
      <c r="I226">
        <v>17</v>
      </c>
    </row>
    <row r="227" spans="1:9">
      <c r="A227" t="s">
        <v>669</v>
      </c>
      <c r="B227" t="s">
        <v>670</v>
      </c>
      <c r="C227" t="s">
        <v>29</v>
      </c>
      <c r="D227" t="s">
        <v>36</v>
      </c>
      <c r="E227" t="s">
        <v>30</v>
      </c>
      <c r="F227" t="s">
        <v>671</v>
      </c>
      <c r="G227" t="s">
        <v>54</v>
      </c>
      <c r="H227">
        <v>335934</v>
      </c>
      <c r="I227">
        <v>20</v>
      </c>
    </row>
    <row r="228" spans="1:9">
      <c r="A228" t="s">
        <v>672</v>
      </c>
      <c r="B228" t="s">
        <v>673</v>
      </c>
      <c r="C228" t="s">
        <v>21</v>
      </c>
      <c r="D228" t="s">
        <v>78</v>
      </c>
      <c r="E228" t="s">
        <v>30</v>
      </c>
      <c r="F228" t="s">
        <v>674</v>
      </c>
      <c r="G228" t="s">
        <v>38</v>
      </c>
      <c r="H228">
        <v>0</v>
      </c>
      <c r="I228">
        <v>3</v>
      </c>
    </row>
    <row r="229" spans="1:9">
      <c r="A229" t="s">
        <v>675</v>
      </c>
      <c r="B229" t="s">
        <v>676</v>
      </c>
      <c r="C229" t="s">
        <v>63</v>
      </c>
      <c r="D229" t="s">
        <v>14</v>
      </c>
      <c r="E229" t="s">
        <v>42</v>
      </c>
      <c r="F229" t="s">
        <v>677</v>
      </c>
      <c r="G229" t="s">
        <v>17</v>
      </c>
      <c r="H229">
        <v>0</v>
      </c>
      <c r="I229">
        <v>20</v>
      </c>
    </row>
    <row r="230" spans="1:9">
      <c r="A230" t="s">
        <v>678</v>
      </c>
      <c r="B230" t="s">
        <v>679</v>
      </c>
      <c r="C230" t="s">
        <v>13</v>
      </c>
      <c r="D230" t="s">
        <v>58</v>
      </c>
      <c r="E230" t="s">
        <v>42</v>
      </c>
      <c r="F230" t="s">
        <v>680</v>
      </c>
      <c r="G230" t="s">
        <v>49</v>
      </c>
      <c r="H230">
        <v>0</v>
      </c>
      <c r="I230">
        <v>17</v>
      </c>
    </row>
    <row r="231" spans="1:9">
      <c r="A231" t="s">
        <v>681</v>
      </c>
      <c r="B231" t="s">
        <v>682</v>
      </c>
      <c r="C231" t="s">
        <v>13</v>
      </c>
      <c r="D231" t="s">
        <v>36</v>
      </c>
      <c r="E231" t="s">
        <v>23</v>
      </c>
      <c r="F231" t="s">
        <v>683</v>
      </c>
      <c r="G231" t="s">
        <v>49</v>
      </c>
      <c r="H231">
        <v>0</v>
      </c>
      <c r="I231">
        <v>23</v>
      </c>
    </row>
    <row r="232" spans="1:9">
      <c r="A232" t="s">
        <v>684</v>
      </c>
      <c r="B232" t="s">
        <v>685</v>
      </c>
      <c r="C232" t="s">
        <v>63</v>
      </c>
      <c r="D232" t="s">
        <v>22</v>
      </c>
      <c r="E232" t="s">
        <v>30</v>
      </c>
      <c r="F232" t="s">
        <v>622</v>
      </c>
      <c r="G232" t="s">
        <v>75</v>
      </c>
      <c r="H232">
        <v>0</v>
      </c>
      <c r="I232">
        <v>8</v>
      </c>
    </row>
    <row r="233" spans="1:9">
      <c r="A233" t="s">
        <v>686</v>
      </c>
      <c r="B233" t="s">
        <v>687</v>
      </c>
      <c r="C233" t="s">
        <v>47</v>
      </c>
      <c r="D233" t="s">
        <v>22</v>
      </c>
      <c r="E233" t="s">
        <v>23</v>
      </c>
      <c r="F233" t="s">
        <v>543</v>
      </c>
      <c r="G233" t="s">
        <v>38</v>
      </c>
      <c r="H233">
        <v>0</v>
      </c>
      <c r="I233">
        <v>10</v>
      </c>
    </row>
    <row r="234" spans="1:9">
      <c r="A234" t="s">
        <v>688</v>
      </c>
      <c r="B234" t="s">
        <v>689</v>
      </c>
      <c r="C234" t="s">
        <v>13</v>
      </c>
      <c r="D234" t="s">
        <v>14</v>
      </c>
      <c r="E234" t="s">
        <v>42</v>
      </c>
      <c r="F234" t="s">
        <v>690</v>
      </c>
      <c r="G234" t="s">
        <v>54</v>
      </c>
      <c r="H234">
        <v>300361</v>
      </c>
      <c r="I234">
        <v>9</v>
      </c>
    </row>
    <row r="235" spans="1:9">
      <c r="A235" t="s">
        <v>691</v>
      </c>
      <c r="B235" t="s">
        <v>692</v>
      </c>
      <c r="C235" t="s">
        <v>21</v>
      </c>
      <c r="D235" t="s">
        <v>36</v>
      </c>
      <c r="E235" t="s">
        <v>42</v>
      </c>
      <c r="F235" t="s">
        <v>108</v>
      </c>
      <c r="G235" t="s">
        <v>25</v>
      </c>
      <c r="H235">
        <v>0</v>
      </c>
      <c r="I235">
        <v>28</v>
      </c>
    </row>
    <row r="236" spans="1:9">
      <c r="A236" t="s">
        <v>693</v>
      </c>
      <c r="B236" t="s">
        <v>694</v>
      </c>
      <c r="C236" t="s">
        <v>63</v>
      </c>
      <c r="D236" t="s">
        <v>58</v>
      </c>
      <c r="E236" t="s">
        <v>23</v>
      </c>
      <c r="F236" t="s">
        <v>185</v>
      </c>
      <c r="G236" t="s">
        <v>17</v>
      </c>
      <c r="H236">
        <v>0</v>
      </c>
      <c r="I236">
        <v>23</v>
      </c>
    </row>
    <row r="237" spans="1:9">
      <c r="A237" t="s">
        <v>695</v>
      </c>
      <c r="B237" t="s">
        <v>696</v>
      </c>
      <c r="C237" t="s">
        <v>47</v>
      </c>
      <c r="D237" t="s">
        <v>22</v>
      </c>
      <c r="E237" t="s">
        <v>42</v>
      </c>
      <c r="F237" t="s">
        <v>697</v>
      </c>
      <c r="G237" t="s">
        <v>75</v>
      </c>
      <c r="H237">
        <v>0</v>
      </c>
      <c r="I237">
        <v>18</v>
      </c>
    </row>
    <row r="238" spans="1:9">
      <c r="A238" t="s">
        <v>698</v>
      </c>
      <c r="B238" t="s">
        <v>699</v>
      </c>
      <c r="C238" t="s">
        <v>29</v>
      </c>
      <c r="D238" t="s">
        <v>58</v>
      </c>
      <c r="E238" t="s">
        <v>23</v>
      </c>
      <c r="F238" t="s">
        <v>700</v>
      </c>
      <c r="G238" t="s">
        <v>75</v>
      </c>
      <c r="H238">
        <v>0</v>
      </c>
      <c r="I238">
        <v>12</v>
      </c>
    </row>
    <row r="239" spans="1:9">
      <c r="A239" t="s">
        <v>701</v>
      </c>
      <c r="B239" t="s">
        <v>702</v>
      </c>
      <c r="C239" t="s">
        <v>47</v>
      </c>
      <c r="D239" t="s">
        <v>22</v>
      </c>
      <c r="E239" t="s">
        <v>23</v>
      </c>
      <c r="F239" t="s">
        <v>690</v>
      </c>
      <c r="G239" t="s">
        <v>25</v>
      </c>
      <c r="H239">
        <v>0</v>
      </c>
      <c r="I239">
        <v>8</v>
      </c>
    </row>
    <row r="240" spans="1:9">
      <c r="A240" t="s">
        <v>703</v>
      </c>
      <c r="B240" t="s">
        <v>704</v>
      </c>
      <c r="C240" t="s">
        <v>13</v>
      </c>
      <c r="D240" t="s">
        <v>22</v>
      </c>
      <c r="E240" t="s">
        <v>42</v>
      </c>
      <c r="F240" t="s">
        <v>705</v>
      </c>
      <c r="G240" t="s">
        <v>17</v>
      </c>
      <c r="H240">
        <v>0</v>
      </c>
      <c r="I240">
        <v>11</v>
      </c>
    </row>
    <row r="241" spans="1:9">
      <c r="A241" t="s">
        <v>706</v>
      </c>
      <c r="B241" t="s">
        <v>707</v>
      </c>
      <c r="C241" t="s">
        <v>21</v>
      </c>
      <c r="D241" t="s">
        <v>36</v>
      </c>
      <c r="E241" t="s">
        <v>30</v>
      </c>
      <c r="F241" t="s">
        <v>200</v>
      </c>
      <c r="G241" t="s">
        <v>54</v>
      </c>
      <c r="H241">
        <v>356915</v>
      </c>
      <c r="I241">
        <v>17</v>
      </c>
    </row>
    <row r="242" spans="1:9">
      <c r="A242" t="s">
        <v>708</v>
      </c>
      <c r="B242" t="s">
        <v>709</v>
      </c>
      <c r="C242" t="s">
        <v>29</v>
      </c>
      <c r="D242" t="s">
        <v>36</v>
      </c>
      <c r="E242" t="s">
        <v>23</v>
      </c>
      <c r="F242" t="s">
        <v>710</v>
      </c>
      <c r="G242" t="s">
        <v>54</v>
      </c>
      <c r="H242">
        <v>380270</v>
      </c>
      <c r="I242">
        <v>26</v>
      </c>
    </row>
    <row r="243" spans="1:9">
      <c r="A243" t="s">
        <v>711</v>
      </c>
      <c r="B243" t="s">
        <v>712</v>
      </c>
      <c r="C243" t="s">
        <v>47</v>
      </c>
      <c r="D243" t="s">
        <v>36</v>
      </c>
      <c r="E243" t="s">
        <v>42</v>
      </c>
      <c r="F243" t="s">
        <v>713</v>
      </c>
      <c r="G243" t="s">
        <v>17</v>
      </c>
      <c r="H243">
        <v>0</v>
      </c>
      <c r="I243">
        <v>21</v>
      </c>
    </row>
    <row r="244" spans="1:9">
      <c r="A244" t="s">
        <v>714</v>
      </c>
      <c r="B244" t="s">
        <v>715</v>
      </c>
      <c r="C244" t="s">
        <v>47</v>
      </c>
      <c r="D244" t="s">
        <v>14</v>
      </c>
      <c r="E244" t="s">
        <v>15</v>
      </c>
      <c r="F244" t="s">
        <v>716</v>
      </c>
      <c r="G244" t="s">
        <v>25</v>
      </c>
      <c r="H244">
        <v>0</v>
      </c>
      <c r="I244">
        <v>7</v>
      </c>
    </row>
    <row r="245" spans="1:9">
      <c r="A245" t="s">
        <v>717</v>
      </c>
      <c r="B245" t="s">
        <v>718</v>
      </c>
      <c r="C245" t="s">
        <v>29</v>
      </c>
      <c r="D245" t="s">
        <v>58</v>
      </c>
      <c r="E245" t="s">
        <v>23</v>
      </c>
      <c r="F245" t="s">
        <v>313</v>
      </c>
      <c r="G245" t="s">
        <v>75</v>
      </c>
      <c r="H245">
        <v>0</v>
      </c>
      <c r="I245">
        <v>14</v>
      </c>
    </row>
    <row r="246" spans="1:9">
      <c r="A246" t="s">
        <v>719</v>
      </c>
      <c r="B246" t="s">
        <v>720</v>
      </c>
      <c r="C246" t="s">
        <v>13</v>
      </c>
      <c r="D246" t="s">
        <v>78</v>
      </c>
      <c r="E246" t="s">
        <v>23</v>
      </c>
      <c r="F246" t="s">
        <v>721</v>
      </c>
      <c r="G246" t="s">
        <v>38</v>
      </c>
      <c r="H246">
        <v>0</v>
      </c>
      <c r="I246">
        <v>9</v>
      </c>
    </row>
    <row r="247" spans="1:9">
      <c r="A247" t="s">
        <v>722</v>
      </c>
      <c r="B247" t="s">
        <v>723</v>
      </c>
      <c r="C247" t="s">
        <v>47</v>
      </c>
      <c r="D247" t="s">
        <v>78</v>
      </c>
      <c r="E247" t="s">
        <v>15</v>
      </c>
      <c r="F247" t="s">
        <v>724</v>
      </c>
      <c r="G247" t="s">
        <v>75</v>
      </c>
      <c r="H247">
        <v>0</v>
      </c>
      <c r="I247">
        <v>17</v>
      </c>
    </row>
    <row r="248" spans="1:9">
      <c r="A248" t="s">
        <v>725</v>
      </c>
      <c r="B248" t="s">
        <v>726</v>
      </c>
      <c r="C248" t="s">
        <v>47</v>
      </c>
      <c r="D248" t="s">
        <v>78</v>
      </c>
      <c r="E248" t="s">
        <v>42</v>
      </c>
      <c r="F248" t="s">
        <v>727</v>
      </c>
      <c r="G248" t="s">
        <v>25</v>
      </c>
      <c r="H248">
        <v>0</v>
      </c>
      <c r="I248">
        <v>30</v>
      </c>
    </row>
    <row r="249" spans="1:9">
      <c r="A249" t="s">
        <v>728</v>
      </c>
      <c r="B249" t="s">
        <v>729</v>
      </c>
      <c r="C249" t="s">
        <v>63</v>
      </c>
      <c r="D249" t="s">
        <v>78</v>
      </c>
      <c r="E249" t="s">
        <v>23</v>
      </c>
      <c r="F249" t="s">
        <v>730</v>
      </c>
      <c r="G249" t="s">
        <v>75</v>
      </c>
      <c r="H249">
        <v>0</v>
      </c>
      <c r="I249">
        <v>7</v>
      </c>
    </row>
    <row r="250" spans="1:9">
      <c r="A250" t="s">
        <v>731</v>
      </c>
      <c r="B250" t="s">
        <v>732</v>
      </c>
      <c r="C250" t="s">
        <v>47</v>
      </c>
      <c r="D250" t="s">
        <v>58</v>
      </c>
      <c r="E250" t="s">
        <v>15</v>
      </c>
      <c r="F250" t="s">
        <v>733</v>
      </c>
      <c r="G250" t="s">
        <v>49</v>
      </c>
      <c r="H250">
        <v>0</v>
      </c>
      <c r="I250">
        <v>5</v>
      </c>
    </row>
    <row r="251" spans="1:9">
      <c r="A251" t="s">
        <v>734</v>
      </c>
      <c r="B251" t="s">
        <v>735</v>
      </c>
      <c r="C251" t="s">
        <v>29</v>
      </c>
      <c r="D251" t="s">
        <v>58</v>
      </c>
      <c r="E251" t="s">
        <v>42</v>
      </c>
      <c r="F251" t="s">
        <v>445</v>
      </c>
      <c r="G251" t="s">
        <v>17</v>
      </c>
      <c r="H251">
        <v>0</v>
      </c>
      <c r="I251">
        <v>19</v>
      </c>
    </row>
    <row r="252" spans="1:9">
      <c r="A252" t="s">
        <v>736</v>
      </c>
      <c r="B252" t="s">
        <v>737</v>
      </c>
      <c r="C252" t="s">
        <v>13</v>
      </c>
      <c r="D252" t="s">
        <v>36</v>
      </c>
      <c r="E252" t="s">
        <v>15</v>
      </c>
      <c r="F252" t="s">
        <v>738</v>
      </c>
      <c r="G252" t="s">
        <v>25</v>
      </c>
      <c r="H252">
        <v>0</v>
      </c>
      <c r="I252">
        <v>12</v>
      </c>
    </row>
    <row r="253" spans="1:9">
      <c r="A253" t="s">
        <v>739</v>
      </c>
      <c r="B253" t="s">
        <v>740</v>
      </c>
      <c r="C253" t="s">
        <v>63</v>
      </c>
      <c r="D253" t="s">
        <v>78</v>
      </c>
      <c r="E253" t="s">
        <v>23</v>
      </c>
      <c r="F253" t="s">
        <v>741</v>
      </c>
      <c r="G253" t="s">
        <v>54</v>
      </c>
      <c r="H253">
        <v>184148</v>
      </c>
      <c r="I253">
        <v>17</v>
      </c>
    </row>
    <row r="254" spans="1:9">
      <c r="A254" t="s">
        <v>742</v>
      </c>
      <c r="B254" t="s">
        <v>743</v>
      </c>
      <c r="C254" t="s">
        <v>21</v>
      </c>
      <c r="D254" t="s">
        <v>78</v>
      </c>
      <c r="E254" t="s">
        <v>23</v>
      </c>
      <c r="F254" t="s">
        <v>465</v>
      </c>
      <c r="G254" t="s">
        <v>17</v>
      </c>
      <c r="H254">
        <v>0</v>
      </c>
      <c r="I254">
        <v>3</v>
      </c>
    </row>
    <row r="255" spans="1:9">
      <c r="A255" t="s">
        <v>744</v>
      </c>
      <c r="B255" t="s">
        <v>745</v>
      </c>
      <c r="C255" t="s">
        <v>21</v>
      </c>
      <c r="D255" t="s">
        <v>58</v>
      </c>
      <c r="E255" t="s">
        <v>23</v>
      </c>
      <c r="F255" t="s">
        <v>746</v>
      </c>
      <c r="G255" t="s">
        <v>17</v>
      </c>
      <c r="H255">
        <v>0</v>
      </c>
      <c r="I255">
        <v>14</v>
      </c>
    </row>
    <row r="256" spans="1:9">
      <c r="A256" t="s">
        <v>747</v>
      </c>
      <c r="B256" t="s">
        <v>748</v>
      </c>
      <c r="C256" t="s">
        <v>47</v>
      </c>
      <c r="D256" t="s">
        <v>78</v>
      </c>
      <c r="E256" t="s">
        <v>23</v>
      </c>
      <c r="F256" t="s">
        <v>749</v>
      </c>
      <c r="G256" t="s">
        <v>25</v>
      </c>
      <c r="H256">
        <v>0</v>
      </c>
      <c r="I256">
        <v>29</v>
      </c>
    </row>
    <row r="257" spans="1:9">
      <c r="A257" t="s">
        <v>750</v>
      </c>
      <c r="B257" t="s">
        <v>751</v>
      </c>
      <c r="C257" t="s">
        <v>35</v>
      </c>
      <c r="D257" t="s">
        <v>36</v>
      </c>
      <c r="E257" t="s">
        <v>42</v>
      </c>
      <c r="F257" t="s">
        <v>752</v>
      </c>
      <c r="G257" t="s">
        <v>25</v>
      </c>
      <c r="H257">
        <v>0</v>
      </c>
      <c r="I257">
        <v>5</v>
      </c>
    </row>
    <row r="258" spans="1:9">
      <c r="A258" t="s">
        <v>753</v>
      </c>
      <c r="B258" t="s">
        <v>754</v>
      </c>
      <c r="C258" t="s">
        <v>63</v>
      </c>
      <c r="D258" t="s">
        <v>78</v>
      </c>
      <c r="E258" t="s">
        <v>30</v>
      </c>
      <c r="F258" t="s">
        <v>755</v>
      </c>
      <c r="G258" t="s">
        <v>38</v>
      </c>
      <c r="H258">
        <v>0</v>
      </c>
      <c r="I258">
        <v>10</v>
      </c>
    </row>
    <row r="259" spans="1:9">
      <c r="A259" t="s">
        <v>756</v>
      </c>
      <c r="B259" t="s">
        <v>757</v>
      </c>
      <c r="C259" t="s">
        <v>35</v>
      </c>
      <c r="D259" t="s">
        <v>58</v>
      </c>
      <c r="E259" t="s">
        <v>73</v>
      </c>
      <c r="F259" t="s">
        <v>674</v>
      </c>
      <c r="G259" t="s">
        <v>38</v>
      </c>
      <c r="H259">
        <v>0</v>
      </c>
      <c r="I259">
        <v>10</v>
      </c>
    </row>
    <row r="260" spans="1:9">
      <c r="A260" t="s">
        <v>758</v>
      </c>
      <c r="B260" t="s">
        <v>759</v>
      </c>
      <c r="C260" t="s">
        <v>21</v>
      </c>
      <c r="D260" t="s">
        <v>22</v>
      </c>
      <c r="E260" t="s">
        <v>73</v>
      </c>
      <c r="F260" t="s">
        <v>760</v>
      </c>
      <c r="G260" t="s">
        <v>25</v>
      </c>
      <c r="H260">
        <v>0</v>
      </c>
      <c r="I260">
        <v>28</v>
      </c>
    </row>
    <row r="261" spans="1:9">
      <c r="A261" t="s">
        <v>761</v>
      </c>
      <c r="B261" t="s">
        <v>762</v>
      </c>
      <c r="C261" t="s">
        <v>29</v>
      </c>
      <c r="D261" t="s">
        <v>22</v>
      </c>
      <c r="E261" t="s">
        <v>23</v>
      </c>
      <c r="F261" t="s">
        <v>281</v>
      </c>
      <c r="G261" t="s">
        <v>25</v>
      </c>
      <c r="H261">
        <v>0</v>
      </c>
      <c r="I261">
        <v>11</v>
      </c>
    </row>
    <row r="262" spans="1:9">
      <c r="A262" t="s">
        <v>763</v>
      </c>
      <c r="B262" t="s">
        <v>764</v>
      </c>
      <c r="C262" t="s">
        <v>13</v>
      </c>
      <c r="D262" t="s">
        <v>58</v>
      </c>
      <c r="E262" t="s">
        <v>15</v>
      </c>
      <c r="F262" t="s">
        <v>765</v>
      </c>
      <c r="G262" t="s">
        <v>25</v>
      </c>
      <c r="H262">
        <v>0</v>
      </c>
      <c r="I262">
        <v>17</v>
      </c>
    </row>
    <row r="263" spans="1:9">
      <c r="A263" t="s">
        <v>766</v>
      </c>
      <c r="B263" t="s">
        <v>767</v>
      </c>
      <c r="C263" t="s">
        <v>13</v>
      </c>
      <c r="D263" t="s">
        <v>36</v>
      </c>
      <c r="E263" t="s">
        <v>42</v>
      </c>
      <c r="F263" t="s">
        <v>768</v>
      </c>
      <c r="G263" t="s">
        <v>17</v>
      </c>
      <c r="H263">
        <v>0</v>
      </c>
      <c r="I263">
        <v>1</v>
      </c>
    </row>
    <row r="264" spans="1:9">
      <c r="A264" t="s">
        <v>769</v>
      </c>
      <c r="B264" t="s">
        <v>770</v>
      </c>
      <c r="C264" t="s">
        <v>35</v>
      </c>
      <c r="D264" t="s">
        <v>58</v>
      </c>
      <c r="E264" t="s">
        <v>73</v>
      </c>
      <c r="F264" t="s">
        <v>31</v>
      </c>
      <c r="G264" t="s">
        <v>38</v>
      </c>
      <c r="H264">
        <v>0</v>
      </c>
      <c r="I264">
        <v>27</v>
      </c>
    </row>
    <row r="265" spans="1:9">
      <c r="A265" t="s">
        <v>771</v>
      </c>
      <c r="B265" t="s">
        <v>772</v>
      </c>
      <c r="C265" t="s">
        <v>21</v>
      </c>
      <c r="D265" t="s">
        <v>78</v>
      </c>
      <c r="E265" t="s">
        <v>15</v>
      </c>
      <c r="F265" t="s">
        <v>773</v>
      </c>
      <c r="G265" t="s">
        <v>38</v>
      </c>
      <c r="H265">
        <v>0</v>
      </c>
      <c r="I265">
        <v>10</v>
      </c>
    </row>
    <row r="266" spans="1:9">
      <c r="A266" t="s">
        <v>774</v>
      </c>
      <c r="B266" t="s">
        <v>775</v>
      </c>
      <c r="C266" t="s">
        <v>47</v>
      </c>
      <c r="D266" t="s">
        <v>36</v>
      </c>
      <c r="E266" t="s">
        <v>23</v>
      </c>
      <c r="F266" t="s">
        <v>776</v>
      </c>
      <c r="G266" t="s">
        <v>38</v>
      </c>
      <c r="H266">
        <v>0</v>
      </c>
      <c r="I266">
        <v>1</v>
      </c>
    </row>
    <row r="267" spans="1:9">
      <c r="A267" t="s">
        <v>777</v>
      </c>
      <c r="B267" t="s">
        <v>778</v>
      </c>
      <c r="C267" t="s">
        <v>13</v>
      </c>
      <c r="D267" t="s">
        <v>36</v>
      </c>
      <c r="E267" t="s">
        <v>42</v>
      </c>
      <c r="F267" t="s">
        <v>779</v>
      </c>
      <c r="G267" t="s">
        <v>49</v>
      </c>
      <c r="H267">
        <v>0</v>
      </c>
      <c r="I267">
        <v>25</v>
      </c>
    </row>
    <row r="268" spans="1:9">
      <c r="A268" t="s">
        <v>780</v>
      </c>
      <c r="B268" t="s">
        <v>781</v>
      </c>
      <c r="C268" t="s">
        <v>47</v>
      </c>
      <c r="D268" t="s">
        <v>36</v>
      </c>
      <c r="E268" t="s">
        <v>23</v>
      </c>
      <c r="F268" t="s">
        <v>782</v>
      </c>
      <c r="G268" t="s">
        <v>25</v>
      </c>
      <c r="H268">
        <v>0</v>
      </c>
      <c r="I268">
        <v>14</v>
      </c>
    </row>
    <row r="269" spans="1:9">
      <c r="A269" t="s">
        <v>783</v>
      </c>
      <c r="B269" t="s">
        <v>784</v>
      </c>
      <c r="C269" t="s">
        <v>13</v>
      </c>
      <c r="D269" t="s">
        <v>78</v>
      </c>
      <c r="E269" t="s">
        <v>42</v>
      </c>
      <c r="F269" t="s">
        <v>746</v>
      </c>
      <c r="G269" t="s">
        <v>49</v>
      </c>
      <c r="H269">
        <v>0</v>
      </c>
      <c r="I269">
        <v>22</v>
      </c>
    </row>
    <row r="270" spans="1:9">
      <c r="A270" t="s">
        <v>785</v>
      </c>
      <c r="B270" t="s">
        <v>786</v>
      </c>
      <c r="C270" t="s">
        <v>63</v>
      </c>
      <c r="D270" t="s">
        <v>78</v>
      </c>
      <c r="E270" t="s">
        <v>23</v>
      </c>
      <c r="F270" t="s">
        <v>787</v>
      </c>
      <c r="G270" t="s">
        <v>38</v>
      </c>
      <c r="H270">
        <v>0</v>
      </c>
      <c r="I270">
        <v>21</v>
      </c>
    </row>
    <row r="271" spans="1:9">
      <c r="A271" t="s">
        <v>788</v>
      </c>
      <c r="B271" t="s">
        <v>789</v>
      </c>
      <c r="C271" t="s">
        <v>29</v>
      </c>
      <c r="D271" t="s">
        <v>22</v>
      </c>
      <c r="E271" t="s">
        <v>73</v>
      </c>
      <c r="F271" t="s">
        <v>337</v>
      </c>
      <c r="G271" t="s">
        <v>75</v>
      </c>
      <c r="H271">
        <v>0</v>
      </c>
      <c r="I271">
        <v>2</v>
      </c>
    </row>
    <row r="272" spans="1:9">
      <c r="A272" t="s">
        <v>790</v>
      </c>
      <c r="B272" t="s">
        <v>791</v>
      </c>
      <c r="C272" t="s">
        <v>63</v>
      </c>
      <c r="D272" t="s">
        <v>14</v>
      </c>
      <c r="E272" t="s">
        <v>73</v>
      </c>
      <c r="F272" t="s">
        <v>574</v>
      </c>
      <c r="G272" t="s">
        <v>17</v>
      </c>
      <c r="H272">
        <v>0</v>
      </c>
      <c r="I272">
        <v>19</v>
      </c>
    </row>
    <row r="273" spans="1:9">
      <c r="A273" t="s">
        <v>792</v>
      </c>
      <c r="B273" t="s">
        <v>793</v>
      </c>
      <c r="C273" t="s">
        <v>63</v>
      </c>
      <c r="D273" t="s">
        <v>78</v>
      </c>
      <c r="E273" t="s">
        <v>23</v>
      </c>
      <c r="F273" t="s">
        <v>782</v>
      </c>
      <c r="G273" t="s">
        <v>75</v>
      </c>
      <c r="H273">
        <v>0</v>
      </c>
      <c r="I273">
        <v>29</v>
      </c>
    </row>
    <row r="274" spans="1:9">
      <c r="A274" t="s">
        <v>794</v>
      </c>
      <c r="B274" t="s">
        <v>795</v>
      </c>
      <c r="C274" t="s">
        <v>13</v>
      </c>
      <c r="D274" t="s">
        <v>58</v>
      </c>
      <c r="E274" t="s">
        <v>30</v>
      </c>
      <c r="F274" t="s">
        <v>796</v>
      </c>
      <c r="G274" t="s">
        <v>17</v>
      </c>
      <c r="H274">
        <v>0</v>
      </c>
      <c r="I274">
        <v>19</v>
      </c>
    </row>
    <row r="275" spans="1:9">
      <c r="A275" t="s">
        <v>797</v>
      </c>
      <c r="B275" t="s">
        <v>798</v>
      </c>
      <c r="C275" t="s">
        <v>63</v>
      </c>
      <c r="D275" t="s">
        <v>14</v>
      </c>
      <c r="E275" t="s">
        <v>15</v>
      </c>
      <c r="F275" t="s">
        <v>727</v>
      </c>
      <c r="G275" t="s">
        <v>17</v>
      </c>
      <c r="H275">
        <v>0</v>
      </c>
      <c r="I275">
        <v>16</v>
      </c>
    </row>
    <row r="276" spans="1:9">
      <c r="A276" t="s">
        <v>799</v>
      </c>
      <c r="B276" t="s">
        <v>800</v>
      </c>
      <c r="C276" t="s">
        <v>63</v>
      </c>
      <c r="D276" t="s">
        <v>36</v>
      </c>
      <c r="E276" t="s">
        <v>30</v>
      </c>
      <c r="F276" t="s">
        <v>801</v>
      </c>
      <c r="G276" t="s">
        <v>49</v>
      </c>
      <c r="H276">
        <v>0</v>
      </c>
      <c r="I276">
        <v>29</v>
      </c>
    </row>
    <row r="277" spans="1:9">
      <c r="A277" t="s">
        <v>802</v>
      </c>
      <c r="B277" t="s">
        <v>803</v>
      </c>
      <c r="C277" t="s">
        <v>63</v>
      </c>
      <c r="D277" t="s">
        <v>58</v>
      </c>
      <c r="E277" t="s">
        <v>73</v>
      </c>
      <c r="F277" t="s">
        <v>229</v>
      </c>
      <c r="G277" t="s">
        <v>38</v>
      </c>
      <c r="H277">
        <v>0</v>
      </c>
      <c r="I277">
        <v>2</v>
      </c>
    </row>
    <row r="278" spans="1:9">
      <c r="A278" t="s">
        <v>804</v>
      </c>
      <c r="B278" t="s">
        <v>805</v>
      </c>
      <c r="C278" t="s">
        <v>21</v>
      </c>
      <c r="D278" t="s">
        <v>36</v>
      </c>
      <c r="E278" t="s">
        <v>15</v>
      </c>
      <c r="F278" t="s">
        <v>806</v>
      </c>
      <c r="G278" t="s">
        <v>75</v>
      </c>
      <c r="H278">
        <v>0</v>
      </c>
      <c r="I278">
        <v>5</v>
      </c>
    </row>
    <row r="279" spans="1:9">
      <c r="A279" t="s">
        <v>807</v>
      </c>
      <c r="B279" t="s">
        <v>808</v>
      </c>
      <c r="C279" t="s">
        <v>35</v>
      </c>
      <c r="D279" t="s">
        <v>78</v>
      </c>
      <c r="E279" t="s">
        <v>30</v>
      </c>
      <c r="F279" t="s">
        <v>600</v>
      </c>
      <c r="G279" t="s">
        <v>25</v>
      </c>
      <c r="H279">
        <v>0</v>
      </c>
      <c r="I279">
        <v>12</v>
      </c>
    </row>
    <row r="280" spans="1:9">
      <c r="A280" t="s">
        <v>809</v>
      </c>
      <c r="B280" t="s">
        <v>810</v>
      </c>
      <c r="C280" t="s">
        <v>21</v>
      </c>
      <c r="D280" t="s">
        <v>58</v>
      </c>
      <c r="E280" t="s">
        <v>42</v>
      </c>
      <c r="F280" t="s">
        <v>811</v>
      </c>
      <c r="G280" t="s">
        <v>49</v>
      </c>
      <c r="H280">
        <v>0</v>
      </c>
      <c r="I280">
        <v>15</v>
      </c>
    </row>
    <row r="281" spans="1:9">
      <c r="A281" t="s">
        <v>812</v>
      </c>
      <c r="B281" t="s">
        <v>813</v>
      </c>
      <c r="C281" t="s">
        <v>13</v>
      </c>
      <c r="D281" t="s">
        <v>14</v>
      </c>
      <c r="E281" t="s">
        <v>15</v>
      </c>
      <c r="F281" t="s">
        <v>538</v>
      </c>
      <c r="G281" t="s">
        <v>38</v>
      </c>
      <c r="H281">
        <v>0</v>
      </c>
      <c r="I281">
        <v>23</v>
      </c>
    </row>
    <row r="282" spans="1:9">
      <c r="A282" t="s">
        <v>814</v>
      </c>
      <c r="B282" t="s">
        <v>815</v>
      </c>
      <c r="C282" t="s">
        <v>63</v>
      </c>
      <c r="D282" t="s">
        <v>78</v>
      </c>
      <c r="E282" t="s">
        <v>15</v>
      </c>
      <c r="F282" t="s">
        <v>816</v>
      </c>
      <c r="G282" t="s">
        <v>54</v>
      </c>
      <c r="H282">
        <v>182474</v>
      </c>
      <c r="I282">
        <v>28</v>
      </c>
    </row>
    <row r="283" spans="1:9">
      <c r="A283" t="s">
        <v>817</v>
      </c>
      <c r="B283" t="s">
        <v>818</v>
      </c>
      <c r="C283" t="s">
        <v>21</v>
      </c>
      <c r="D283" t="s">
        <v>36</v>
      </c>
      <c r="E283" t="s">
        <v>30</v>
      </c>
      <c r="F283" t="s">
        <v>773</v>
      </c>
      <c r="G283" t="s">
        <v>75</v>
      </c>
      <c r="H283">
        <v>0</v>
      </c>
      <c r="I283">
        <v>12</v>
      </c>
    </row>
    <row r="284" spans="1:9">
      <c r="A284" t="s">
        <v>819</v>
      </c>
      <c r="B284" t="s">
        <v>820</v>
      </c>
      <c r="C284" t="s">
        <v>29</v>
      </c>
      <c r="D284" t="s">
        <v>14</v>
      </c>
      <c r="E284" t="s">
        <v>73</v>
      </c>
      <c r="F284" t="s">
        <v>395</v>
      </c>
      <c r="G284" t="s">
        <v>75</v>
      </c>
      <c r="H284">
        <v>0</v>
      </c>
      <c r="I284">
        <v>6</v>
      </c>
    </row>
    <row r="285" spans="1:9">
      <c r="A285" t="s">
        <v>821</v>
      </c>
      <c r="B285" t="s">
        <v>822</v>
      </c>
      <c r="C285" t="s">
        <v>21</v>
      </c>
      <c r="D285" t="s">
        <v>36</v>
      </c>
      <c r="E285" t="s">
        <v>30</v>
      </c>
      <c r="F285" t="s">
        <v>185</v>
      </c>
      <c r="G285" t="s">
        <v>49</v>
      </c>
      <c r="H285">
        <v>0</v>
      </c>
      <c r="I285">
        <v>24</v>
      </c>
    </row>
    <row r="286" spans="1:9">
      <c r="A286" t="s">
        <v>823</v>
      </c>
      <c r="B286" t="s">
        <v>824</v>
      </c>
      <c r="C286" t="s">
        <v>21</v>
      </c>
      <c r="D286" t="s">
        <v>78</v>
      </c>
      <c r="E286" t="s">
        <v>42</v>
      </c>
      <c r="F286" t="s">
        <v>825</v>
      </c>
      <c r="G286" t="s">
        <v>17</v>
      </c>
      <c r="H286">
        <v>0</v>
      </c>
      <c r="I286">
        <v>13</v>
      </c>
    </row>
    <row r="287" spans="1:9">
      <c r="A287" t="s">
        <v>826</v>
      </c>
      <c r="B287" t="s">
        <v>827</v>
      </c>
      <c r="C287" t="s">
        <v>35</v>
      </c>
      <c r="D287" t="s">
        <v>78</v>
      </c>
      <c r="E287" t="s">
        <v>23</v>
      </c>
      <c r="F287" t="s">
        <v>828</v>
      </c>
      <c r="G287" t="s">
        <v>49</v>
      </c>
      <c r="H287">
        <v>0</v>
      </c>
      <c r="I287">
        <v>11</v>
      </c>
    </row>
    <row r="288" spans="1:9">
      <c r="A288" t="s">
        <v>829</v>
      </c>
      <c r="B288" t="s">
        <v>830</v>
      </c>
      <c r="C288" t="s">
        <v>63</v>
      </c>
      <c r="D288" t="s">
        <v>22</v>
      </c>
      <c r="E288" t="s">
        <v>73</v>
      </c>
      <c r="F288" t="s">
        <v>337</v>
      </c>
      <c r="G288" t="s">
        <v>54</v>
      </c>
      <c r="H288">
        <v>132513</v>
      </c>
      <c r="I288">
        <v>10</v>
      </c>
    </row>
    <row r="289" spans="1:9">
      <c r="A289" t="s">
        <v>831</v>
      </c>
      <c r="B289" t="s">
        <v>832</v>
      </c>
      <c r="C289" t="s">
        <v>13</v>
      </c>
      <c r="D289" t="s">
        <v>36</v>
      </c>
      <c r="E289" t="s">
        <v>30</v>
      </c>
      <c r="F289" t="s">
        <v>176</v>
      </c>
      <c r="G289" t="s">
        <v>38</v>
      </c>
      <c r="H289">
        <v>0</v>
      </c>
      <c r="I289">
        <v>28</v>
      </c>
    </row>
    <row r="290" spans="1:9">
      <c r="A290" t="s">
        <v>833</v>
      </c>
      <c r="B290" t="s">
        <v>834</v>
      </c>
      <c r="C290" t="s">
        <v>29</v>
      </c>
      <c r="D290" t="s">
        <v>22</v>
      </c>
      <c r="E290" t="s">
        <v>42</v>
      </c>
      <c r="F290" t="s">
        <v>543</v>
      </c>
      <c r="G290" t="s">
        <v>49</v>
      </c>
      <c r="H290">
        <v>0</v>
      </c>
      <c r="I290">
        <v>29</v>
      </c>
    </row>
    <row r="291" spans="1:9">
      <c r="A291" t="s">
        <v>835</v>
      </c>
      <c r="B291" t="s">
        <v>836</v>
      </c>
      <c r="C291" t="s">
        <v>21</v>
      </c>
      <c r="D291" t="s">
        <v>36</v>
      </c>
      <c r="E291" t="s">
        <v>15</v>
      </c>
      <c r="F291" t="s">
        <v>837</v>
      </c>
      <c r="G291" t="s">
        <v>17</v>
      </c>
      <c r="H291">
        <v>0</v>
      </c>
      <c r="I291">
        <v>28</v>
      </c>
    </row>
    <row r="292" spans="1:9">
      <c r="A292" t="s">
        <v>838</v>
      </c>
      <c r="B292" t="s">
        <v>839</v>
      </c>
      <c r="C292" t="s">
        <v>13</v>
      </c>
      <c r="D292" t="s">
        <v>78</v>
      </c>
      <c r="E292" t="s">
        <v>30</v>
      </c>
      <c r="F292" t="s">
        <v>840</v>
      </c>
      <c r="G292" t="s">
        <v>49</v>
      </c>
      <c r="H292">
        <v>0</v>
      </c>
      <c r="I292">
        <v>8</v>
      </c>
    </row>
    <row r="293" spans="1:9">
      <c r="A293" t="s">
        <v>841</v>
      </c>
      <c r="B293" t="s">
        <v>842</v>
      </c>
      <c r="C293" t="s">
        <v>21</v>
      </c>
      <c r="D293" t="s">
        <v>14</v>
      </c>
      <c r="E293" t="s">
        <v>30</v>
      </c>
      <c r="F293" t="s">
        <v>843</v>
      </c>
      <c r="G293" t="s">
        <v>54</v>
      </c>
      <c r="H293">
        <v>214080</v>
      </c>
      <c r="I293">
        <v>15</v>
      </c>
    </row>
    <row r="294" spans="1:9">
      <c r="A294" t="s">
        <v>844</v>
      </c>
      <c r="B294" t="s">
        <v>845</v>
      </c>
      <c r="C294" t="s">
        <v>13</v>
      </c>
      <c r="D294" t="s">
        <v>36</v>
      </c>
      <c r="E294" t="s">
        <v>42</v>
      </c>
      <c r="F294" t="s">
        <v>846</v>
      </c>
      <c r="G294" t="s">
        <v>38</v>
      </c>
      <c r="H294">
        <v>0</v>
      </c>
      <c r="I294">
        <v>28</v>
      </c>
    </row>
    <row r="295" spans="1:9">
      <c r="A295" t="s">
        <v>847</v>
      </c>
      <c r="B295" t="s">
        <v>848</v>
      </c>
      <c r="C295" t="s">
        <v>29</v>
      </c>
      <c r="D295" t="s">
        <v>36</v>
      </c>
      <c r="E295" t="s">
        <v>30</v>
      </c>
      <c r="F295" t="s">
        <v>710</v>
      </c>
      <c r="G295" t="s">
        <v>54</v>
      </c>
      <c r="H295">
        <v>265754</v>
      </c>
      <c r="I295">
        <v>8</v>
      </c>
    </row>
    <row r="296" spans="1:9">
      <c r="A296" t="s">
        <v>849</v>
      </c>
      <c r="B296" t="s">
        <v>850</v>
      </c>
      <c r="C296" t="s">
        <v>29</v>
      </c>
      <c r="D296" t="s">
        <v>58</v>
      </c>
      <c r="E296" t="s">
        <v>30</v>
      </c>
      <c r="F296" t="s">
        <v>328</v>
      </c>
      <c r="G296" t="s">
        <v>17</v>
      </c>
      <c r="H296">
        <v>0</v>
      </c>
      <c r="I296">
        <v>15</v>
      </c>
    </row>
    <row r="297" spans="1:9">
      <c r="A297" t="s">
        <v>851</v>
      </c>
      <c r="B297" t="s">
        <v>852</v>
      </c>
      <c r="C297" t="s">
        <v>63</v>
      </c>
      <c r="D297" t="s">
        <v>22</v>
      </c>
      <c r="E297" t="s">
        <v>30</v>
      </c>
      <c r="F297" t="s">
        <v>421</v>
      </c>
      <c r="G297" t="s">
        <v>54</v>
      </c>
      <c r="H297">
        <v>312993</v>
      </c>
      <c r="I297">
        <v>21</v>
      </c>
    </row>
    <row r="298" spans="1:9">
      <c r="A298" t="s">
        <v>853</v>
      </c>
      <c r="B298" t="s">
        <v>854</v>
      </c>
      <c r="C298" t="s">
        <v>47</v>
      </c>
      <c r="D298" t="s">
        <v>58</v>
      </c>
      <c r="E298" t="s">
        <v>42</v>
      </c>
      <c r="F298" t="s">
        <v>855</v>
      </c>
      <c r="G298" t="s">
        <v>25</v>
      </c>
      <c r="H298">
        <v>0</v>
      </c>
      <c r="I298">
        <v>26</v>
      </c>
    </row>
    <row r="299" spans="1:9">
      <c r="A299" t="s">
        <v>856</v>
      </c>
      <c r="B299" t="s">
        <v>857</v>
      </c>
      <c r="C299" t="s">
        <v>29</v>
      </c>
      <c r="D299" t="s">
        <v>78</v>
      </c>
      <c r="E299" t="s">
        <v>15</v>
      </c>
      <c r="F299" t="s">
        <v>683</v>
      </c>
      <c r="G299" t="s">
        <v>75</v>
      </c>
      <c r="H299">
        <v>0</v>
      </c>
      <c r="I299">
        <v>10</v>
      </c>
    </row>
    <row r="300" spans="1:9">
      <c r="A300" t="s">
        <v>858</v>
      </c>
      <c r="B300" t="s">
        <v>859</v>
      </c>
      <c r="C300" t="s">
        <v>35</v>
      </c>
      <c r="D300" t="s">
        <v>78</v>
      </c>
      <c r="E300" t="s">
        <v>30</v>
      </c>
      <c r="F300" t="s">
        <v>860</v>
      </c>
      <c r="G300" t="s">
        <v>17</v>
      </c>
      <c r="H300">
        <v>0</v>
      </c>
      <c r="I300">
        <v>19</v>
      </c>
    </row>
    <row r="301" spans="1:9">
      <c r="A301" t="s">
        <v>861</v>
      </c>
      <c r="B301" t="s">
        <v>862</v>
      </c>
      <c r="C301" t="s">
        <v>21</v>
      </c>
      <c r="D301" t="s">
        <v>58</v>
      </c>
      <c r="E301" t="s">
        <v>30</v>
      </c>
      <c r="F301" t="s">
        <v>863</v>
      </c>
      <c r="G301" t="s">
        <v>17</v>
      </c>
      <c r="H301">
        <v>0</v>
      </c>
      <c r="I301">
        <v>3</v>
      </c>
    </row>
    <row r="302" spans="1:9">
      <c r="A302" t="s">
        <v>864</v>
      </c>
      <c r="B302" t="s">
        <v>865</v>
      </c>
      <c r="C302" t="s">
        <v>35</v>
      </c>
      <c r="D302" t="s">
        <v>14</v>
      </c>
      <c r="E302" t="s">
        <v>23</v>
      </c>
      <c r="F302" t="s">
        <v>866</v>
      </c>
      <c r="G302" t="s">
        <v>38</v>
      </c>
      <c r="H302">
        <v>0</v>
      </c>
      <c r="I302">
        <v>13</v>
      </c>
    </row>
    <row r="303" spans="1:9">
      <c r="A303" t="s">
        <v>867</v>
      </c>
      <c r="B303" t="s">
        <v>868</v>
      </c>
      <c r="C303" t="s">
        <v>13</v>
      </c>
      <c r="D303" t="s">
        <v>78</v>
      </c>
      <c r="E303" t="s">
        <v>15</v>
      </c>
      <c r="F303" t="s">
        <v>577</v>
      </c>
      <c r="G303" t="s">
        <v>54</v>
      </c>
      <c r="H303">
        <v>209285</v>
      </c>
      <c r="I303">
        <v>10</v>
      </c>
    </row>
    <row r="304" spans="1:9">
      <c r="A304" t="s">
        <v>869</v>
      </c>
      <c r="B304" t="s">
        <v>870</v>
      </c>
      <c r="C304" t="s">
        <v>21</v>
      </c>
      <c r="D304" t="s">
        <v>36</v>
      </c>
      <c r="E304" t="s">
        <v>15</v>
      </c>
      <c r="F304" t="s">
        <v>746</v>
      </c>
      <c r="G304" t="s">
        <v>49</v>
      </c>
      <c r="H304">
        <v>0</v>
      </c>
      <c r="I304">
        <v>16</v>
      </c>
    </row>
    <row r="305" spans="1:9">
      <c r="A305" t="s">
        <v>871</v>
      </c>
      <c r="B305" t="s">
        <v>872</v>
      </c>
      <c r="C305" t="s">
        <v>47</v>
      </c>
      <c r="D305" t="s">
        <v>22</v>
      </c>
      <c r="E305" t="s">
        <v>15</v>
      </c>
      <c r="F305" t="s">
        <v>873</v>
      </c>
      <c r="G305" t="s">
        <v>49</v>
      </c>
      <c r="H305">
        <v>0</v>
      </c>
      <c r="I305">
        <v>12</v>
      </c>
    </row>
    <row r="306" spans="1:9">
      <c r="A306" t="s">
        <v>874</v>
      </c>
      <c r="B306" t="s">
        <v>875</v>
      </c>
      <c r="C306" t="s">
        <v>29</v>
      </c>
      <c r="D306" t="s">
        <v>22</v>
      </c>
      <c r="E306" t="s">
        <v>30</v>
      </c>
      <c r="F306" t="s">
        <v>876</v>
      </c>
      <c r="G306" t="s">
        <v>17</v>
      </c>
      <c r="H306">
        <v>0</v>
      </c>
      <c r="I306">
        <v>16</v>
      </c>
    </row>
    <row r="307" spans="1:9">
      <c r="A307" t="s">
        <v>877</v>
      </c>
      <c r="B307" t="s">
        <v>878</v>
      </c>
      <c r="C307" t="s">
        <v>13</v>
      </c>
      <c r="D307" t="s">
        <v>14</v>
      </c>
      <c r="E307" t="s">
        <v>42</v>
      </c>
      <c r="F307" t="s">
        <v>879</v>
      </c>
      <c r="G307" t="s">
        <v>54</v>
      </c>
      <c r="H307">
        <v>326148</v>
      </c>
      <c r="I307">
        <v>8</v>
      </c>
    </row>
    <row r="308" spans="1:9">
      <c r="A308" t="s">
        <v>880</v>
      </c>
      <c r="B308" t="s">
        <v>881</v>
      </c>
      <c r="C308" t="s">
        <v>13</v>
      </c>
      <c r="D308" t="s">
        <v>14</v>
      </c>
      <c r="E308" t="s">
        <v>42</v>
      </c>
      <c r="F308" t="s">
        <v>882</v>
      </c>
      <c r="G308" t="s">
        <v>38</v>
      </c>
      <c r="H308">
        <v>0</v>
      </c>
      <c r="I308">
        <v>8</v>
      </c>
    </row>
    <row r="309" spans="1:9">
      <c r="A309" t="s">
        <v>883</v>
      </c>
      <c r="B309" t="s">
        <v>884</v>
      </c>
      <c r="C309" t="s">
        <v>47</v>
      </c>
      <c r="D309" t="s">
        <v>78</v>
      </c>
      <c r="E309" t="s">
        <v>23</v>
      </c>
      <c r="F309" t="s">
        <v>885</v>
      </c>
      <c r="G309" t="s">
        <v>49</v>
      </c>
      <c r="H309">
        <v>0</v>
      </c>
      <c r="I309">
        <v>27</v>
      </c>
    </row>
    <row r="310" spans="1:9">
      <c r="A310" t="s">
        <v>886</v>
      </c>
      <c r="B310" t="s">
        <v>887</v>
      </c>
      <c r="C310" t="s">
        <v>47</v>
      </c>
      <c r="D310" t="s">
        <v>14</v>
      </c>
      <c r="E310" t="s">
        <v>73</v>
      </c>
      <c r="F310" t="s">
        <v>888</v>
      </c>
      <c r="G310" t="s">
        <v>54</v>
      </c>
      <c r="H310">
        <v>35728</v>
      </c>
      <c r="I310">
        <v>28</v>
      </c>
    </row>
    <row r="311" spans="1:9">
      <c r="A311" t="s">
        <v>889</v>
      </c>
      <c r="B311" t="s">
        <v>890</v>
      </c>
      <c r="C311" t="s">
        <v>47</v>
      </c>
      <c r="D311" t="s">
        <v>36</v>
      </c>
      <c r="E311" t="s">
        <v>23</v>
      </c>
      <c r="F311" t="s">
        <v>891</v>
      </c>
      <c r="G311" t="s">
        <v>75</v>
      </c>
      <c r="H311">
        <v>0</v>
      </c>
      <c r="I311">
        <v>24</v>
      </c>
    </row>
    <row r="312" spans="1:9">
      <c r="A312" t="s">
        <v>892</v>
      </c>
      <c r="B312" t="s">
        <v>893</v>
      </c>
      <c r="C312" t="s">
        <v>13</v>
      </c>
      <c r="D312" t="s">
        <v>22</v>
      </c>
      <c r="E312" t="s">
        <v>30</v>
      </c>
      <c r="F312" t="s">
        <v>405</v>
      </c>
      <c r="G312" t="s">
        <v>49</v>
      </c>
      <c r="H312">
        <v>0</v>
      </c>
      <c r="I312">
        <v>24</v>
      </c>
    </row>
    <row r="313" spans="1:9">
      <c r="A313" t="s">
        <v>894</v>
      </c>
      <c r="B313" t="s">
        <v>895</v>
      </c>
      <c r="C313" t="s">
        <v>35</v>
      </c>
      <c r="D313" t="s">
        <v>22</v>
      </c>
      <c r="E313" t="s">
        <v>23</v>
      </c>
      <c r="F313" t="s">
        <v>896</v>
      </c>
      <c r="G313" t="s">
        <v>54</v>
      </c>
      <c r="H313">
        <v>349374</v>
      </c>
      <c r="I313">
        <v>22</v>
      </c>
    </row>
    <row r="314" spans="1:9">
      <c r="A314" t="s">
        <v>897</v>
      </c>
      <c r="B314" t="s">
        <v>898</v>
      </c>
      <c r="C314" t="s">
        <v>63</v>
      </c>
      <c r="D314" t="s">
        <v>58</v>
      </c>
      <c r="E314" t="s">
        <v>30</v>
      </c>
      <c r="F314" t="s">
        <v>899</v>
      </c>
      <c r="G314" t="s">
        <v>49</v>
      </c>
      <c r="H314">
        <v>0</v>
      </c>
      <c r="I314">
        <v>19</v>
      </c>
    </row>
    <row r="315" spans="1:9">
      <c r="A315" t="s">
        <v>900</v>
      </c>
      <c r="B315" t="s">
        <v>901</v>
      </c>
      <c r="C315" t="s">
        <v>29</v>
      </c>
      <c r="D315" t="s">
        <v>22</v>
      </c>
      <c r="E315" t="s">
        <v>42</v>
      </c>
      <c r="F315" t="s">
        <v>902</v>
      </c>
      <c r="G315" t="s">
        <v>49</v>
      </c>
      <c r="H315">
        <v>0</v>
      </c>
      <c r="I315">
        <v>18</v>
      </c>
    </row>
    <row r="316" spans="1:9">
      <c r="A316" t="s">
        <v>903</v>
      </c>
      <c r="B316" t="s">
        <v>904</v>
      </c>
      <c r="C316" t="s">
        <v>63</v>
      </c>
      <c r="D316" t="s">
        <v>78</v>
      </c>
      <c r="E316" t="s">
        <v>15</v>
      </c>
      <c r="F316" t="s">
        <v>905</v>
      </c>
      <c r="G316" t="s">
        <v>54</v>
      </c>
      <c r="H316">
        <v>482403</v>
      </c>
      <c r="I316">
        <v>29</v>
      </c>
    </row>
    <row r="317" spans="1:9">
      <c r="A317" t="s">
        <v>906</v>
      </c>
      <c r="B317" t="s">
        <v>907</v>
      </c>
      <c r="C317" t="s">
        <v>29</v>
      </c>
      <c r="D317" t="s">
        <v>78</v>
      </c>
      <c r="E317" t="s">
        <v>73</v>
      </c>
      <c r="F317" t="s">
        <v>908</v>
      </c>
      <c r="G317" t="s">
        <v>17</v>
      </c>
      <c r="H317">
        <v>0</v>
      </c>
      <c r="I317">
        <v>1</v>
      </c>
    </row>
    <row r="318" spans="1:9">
      <c r="A318" t="s">
        <v>909</v>
      </c>
      <c r="B318" t="s">
        <v>910</v>
      </c>
      <c r="C318" t="s">
        <v>63</v>
      </c>
      <c r="D318" t="s">
        <v>22</v>
      </c>
      <c r="E318" t="s">
        <v>15</v>
      </c>
      <c r="F318" t="s">
        <v>911</v>
      </c>
      <c r="G318" t="s">
        <v>17</v>
      </c>
      <c r="H318">
        <v>0</v>
      </c>
      <c r="I318">
        <v>26</v>
      </c>
    </row>
    <row r="319" spans="1:9">
      <c r="A319" t="s">
        <v>912</v>
      </c>
      <c r="B319" t="s">
        <v>913</v>
      </c>
      <c r="C319" t="s">
        <v>21</v>
      </c>
      <c r="D319" t="s">
        <v>22</v>
      </c>
      <c r="E319" t="s">
        <v>73</v>
      </c>
      <c r="F319" t="s">
        <v>914</v>
      </c>
      <c r="G319" t="s">
        <v>17</v>
      </c>
      <c r="H319">
        <v>0</v>
      </c>
      <c r="I319">
        <v>17</v>
      </c>
    </row>
    <row r="320" spans="1:9">
      <c r="A320" t="s">
        <v>915</v>
      </c>
      <c r="B320" t="s">
        <v>916</v>
      </c>
      <c r="C320" t="s">
        <v>63</v>
      </c>
      <c r="D320" t="s">
        <v>36</v>
      </c>
      <c r="E320" t="s">
        <v>73</v>
      </c>
      <c r="F320" t="s">
        <v>917</v>
      </c>
      <c r="G320" t="s">
        <v>49</v>
      </c>
      <c r="H320">
        <v>0</v>
      </c>
      <c r="I320">
        <v>28</v>
      </c>
    </row>
    <row r="321" spans="1:9">
      <c r="A321" t="s">
        <v>918</v>
      </c>
      <c r="B321" t="s">
        <v>919</v>
      </c>
      <c r="C321" t="s">
        <v>29</v>
      </c>
      <c r="D321" t="s">
        <v>36</v>
      </c>
      <c r="E321" t="s">
        <v>15</v>
      </c>
      <c r="F321" t="s">
        <v>855</v>
      </c>
      <c r="G321" t="s">
        <v>49</v>
      </c>
      <c r="H321">
        <v>0</v>
      </c>
      <c r="I321">
        <v>9</v>
      </c>
    </row>
    <row r="322" spans="1:9">
      <c r="A322" t="s">
        <v>920</v>
      </c>
      <c r="B322" t="s">
        <v>921</v>
      </c>
      <c r="C322" t="s">
        <v>29</v>
      </c>
      <c r="D322" t="s">
        <v>78</v>
      </c>
      <c r="E322" t="s">
        <v>15</v>
      </c>
      <c r="F322" t="s">
        <v>922</v>
      </c>
      <c r="G322" t="s">
        <v>49</v>
      </c>
      <c r="H322">
        <v>0</v>
      </c>
      <c r="I322">
        <v>6</v>
      </c>
    </row>
    <row r="323" spans="1:9">
      <c r="A323" t="s">
        <v>923</v>
      </c>
      <c r="B323" t="s">
        <v>924</v>
      </c>
      <c r="C323" t="s">
        <v>47</v>
      </c>
      <c r="D323" t="s">
        <v>78</v>
      </c>
      <c r="E323" t="s">
        <v>23</v>
      </c>
      <c r="F323" t="s">
        <v>925</v>
      </c>
      <c r="G323" t="s">
        <v>38</v>
      </c>
      <c r="H323">
        <v>0</v>
      </c>
      <c r="I323">
        <v>6</v>
      </c>
    </row>
    <row r="324" spans="1:9">
      <c r="A324" t="s">
        <v>926</v>
      </c>
      <c r="B324" t="s">
        <v>927</v>
      </c>
      <c r="C324" t="s">
        <v>47</v>
      </c>
      <c r="D324" t="s">
        <v>58</v>
      </c>
      <c r="E324" t="s">
        <v>73</v>
      </c>
      <c r="F324" t="s">
        <v>411</v>
      </c>
      <c r="G324" t="s">
        <v>75</v>
      </c>
      <c r="H324">
        <v>0</v>
      </c>
      <c r="I324">
        <v>6</v>
      </c>
    </row>
    <row r="325" spans="1:9">
      <c r="A325" t="s">
        <v>928</v>
      </c>
      <c r="B325" t="s">
        <v>929</v>
      </c>
      <c r="C325" t="s">
        <v>47</v>
      </c>
      <c r="D325" t="s">
        <v>78</v>
      </c>
      <c r="E325" t="s">
        <v>30</v>
      </c>
      <c r="F325" t="s">
        <v>930</v>
      </c>
      <c r="G325" t="s">
        <v>38</v>
      </c>
      <c r="H325">
        <v>0</v>
      </c>
      <c r="I325">
        <v>27</v>
      </c>
    </row>
    <row r="326" spans="1:9">
      <c r="A326" t="s">
        <v>931</v>
      </c>
      <c r="B326" t="s">
        <v>932</v>
      </c>
      <c r="C326" t="s">
        <v>13</v>
      </c>
      <c r="D326" t="s">
        <v>78</v>
      </c>
      <c r="E326" t="s">
        <v>23</v>
      </c>
      <c r="F326" t="s">
        <v>713</v>
      </c>
      <c r="G326" t="s">
        <v>75</v>
      </c>
      <c r="H326">
        <v>0</v>
      </c>
      <c r="I326">
        <v>14</v>
      </c>
    </row>
    <row r="327" spans="1:9">
      <c r="A327" t="s">
        <v>933</v>
      </c>
      <c r="B327" t="s">
        <v>934</v>
      </c>
      <c r="C327" t="s">
        <v>29</v>
      </c>
      <c r="D327" t="s">
        <v>36</v>
      </c>
      <c r="E327" t="s">
        <v>23</v>
      </c>
      <c r="F327" t="s">
        <v>191</v>
      </c>
      <c r="G327" t="s">
        <v>49</v>
      </c>
      <c r="H327">
        <v>0</v>
      </c>
      <c r="I327">
        <v>26</v>
      </c>
    </row>
    <row r="328" spans="1:9">
      <c r="A328" t="s">
        <v>935</v>
      </c>
      <c r="B328" t="s">
        <v>936</v>
      </c>
      <c r="C328" t="s">
        <v>63</v>
      </c>
      <c r="D328" t="s">
        <v>14</v>
      </c>
      <c r="E328" t="s">
        <v>30</v>
      </c>
      <c r="F328" t="s">
        <v>638</v>
      </c>
      <c r="G328" t="s">
        <v>25</v>
      </c>
      <c r="H328">
        <v>0</v>
      </c>
      <c r="I328">
        <v>9</v>
      </c>
    </row>
    <row r="329" spans="1:9">
      <c r="A329" t="s">
        <v>937</v>
      </c>
      <c r="B329" t="s">
        <v>938</v>
      </c>
      <c r="C329" t="s">
        <v>13</v>
      </c>
      <c r="D329" t="s">
        <v>58</v>
      </c>
      <c r="E329" t="s">
        <v>42</v>
      </c>
      <c r="F329" t="s">
        <v>939</v>
      </c>
      <c r="G329" t="s">
        <v>17</v>
      </c>
      <c r="H329">
        <v>0</v>
      </c>
      <c r="I329">
        <v>14</v>
      </c>
    </row>
    <row r="330" spans="1:9">
      <c r="A330" t="s">
        <v>940</v>
      </c>
      <c r="B330" t="s">
        <v>941</v>
      </c>
      <c r="C330" t="s">
        <v>21</v>
      </c>
      <c r="D330" t="s">
        <v>14</v>
      </c>
      <c r="E330" t="s">
        <v>30</v>
      </c>
      <c r="F330" t="s">
        <v>436</v>
      </c>
      <c r="G330" t="s">
        <v>38</v>
      </c>
      <c r="H330">
        <v>0</v>
      </c>
      <c r="I330">
        <v>19</v>
      </c>
    </row>
    <row r="331" spans="1:9">
      <c r="A331" t="s">
        <v>942</v>
      </c>
      <c r="B331" t="s">
        <v>943</v>
      </c>
      <c r="C331" t="s">
        <v>63</v>
      </c>
      <c r="D331" t="s">
        <v>14</v>
      </c>
      <c r="E331" t="s">
        <v>23</v>
      </c>
      <c r="F331" t="s">
        <v>787</v>
      </c>
      <c r="G331" t="s">
        <v>38</v>
      </c>
      <c r="H331">
        <v>0</v>
      </c>
      <c r="I331">
        <v>25</v>
      </c>
    </row>
    <row r="332" spans="1:9">
      <c r="A332" t="s">
        <v>944</v>
      </c>
      <c r="B332" t="s">
        <v>945</v>
      </c>
      <c r="C332" t="s">
        <v>47</v>
      </c>
      <c r="D332" t="s">
        <v>78</v>
      </c>
      <c r="E332" t="s">
        <v>30</v>
      </c>
      <c r="F332" t="s">
        <v>665</v>
      </c>
      <c r="G332" t="s">
        <v>54</v>
      </c>
      <c r="H332">
        <v>367541</v>
      </c>
      <c r="I332">
        <v>25</v>
      </c>
    </row>
    <row r="333" spans="1:9">
      <c r="A333" t="s">
        <v>946</v>
      </c>
      <c r="B333" t="s">
        <v>947</v>
      </c>
      <c r="C333" t="s">
        <v>47</v>
      </c>
      <c r="D333" t="s">
        <v>14</v>
      </c>
      <c r="E333" t="s">
        <v>15</v>
      </c>
      <c r="F333" t="s">
        <v>873</v>
      </c>
      <c r="G333" t="s">
        <v>49</v>
      </c>
      <c r="H333">
        <v>0</v>
      </c>
      <c r="I333">
        <v>30</v>
      </c>
    </row>
    <row r="334" spans="1:9">
      <c r="A334" t="s">
        <v>948</v>
      </c>
      <c r="B334" t="s">
        <v>949</v>
      </c>
      <c r="C334" t="s">
        <v>29</v>
      </c>
      <c r="D334" t="s">
        <v>36</v>
      </c>
      <c r="E334" t="s">
        <v>15</v>
      </c>
      <c r="F334" t="s">
        <v>111</v>
      </c>
      <c r="G334" t="s">
        <v>75</v>
      </c>
      <c r="H334">
        <v>0</v>
      </c>
      <c r="I334">
        <v>24</v>
      </c>
    </row>
    <row r="335" spans="1:9">
      <c r="A335" t="s">
        <v>950</v>
      </c>
      <c r="B335" t="s">
        <v>951</v>
      </c>
      <c r="C335" t="s">
        <v>47</v>
      </c>
      <c r="D335" t="s">
        <v>36</v>
      </c>
      <c r="E335" t="s">
        <v>23</v>
      </c>
      <c r="F335" t="s">
        <v>952</v>
      </c>
      <c r="G335" t="s">
        <v>38</v>
      </c>
      <c r="H335">
        <v>0</v>
      </c>
      <c r="I335">
        <v>18</v>
      </c>
    </row>
    <row r="336" spans="1:9">
      <c r="A336" t="s">
        <v>953</v>
      </c>
      <c r="B336" t="s">
        <v>954</v>
      </c>
      <c r="C336" t="s">
        <v>29</v>
      </c>
      <c r="D336" t="s">
        <v>22</v>
      </c>
      <c r="E336" t="s">
        <v>73</v>
      </c>
      <c r="F336" t="s">
        <v>955</v>
      </c>
      <c r="G336" t="s">
        <v>75</v>
      </c>
      <c r="H336">
        <v>0</v>
      </c>
      <c r="I336">
        <v>29</v>
      </c>
    </row>
    <row r="337" spans="1:9">
      <c r="A337" t="s">
        <v>956</v>
      </c>
      <c r="B337" t="s">
        <v>957</v>
      </c>
      <c r="C337" t="s">
        <v>29</v>
      </c>
      <c r="D337" t="s">
        <v>22</v>
      </c>
      <c r="E337" t="s">
        <v>73</v>
      </c>
      <c r="F337" t="s">
        <v>958</v>
      </c>
      <c r="G337" t="s">
        <v>25</v>
      </c>
      <c r="H337">
        <v>0</v>
      </c>
      <c r="I337">
        <v>28</v>
      </c>
    </row>
    <row r="338" spans="1:9">
      <c r="A338" t="s">
        <v>959</v>
      </c>
      <c r="B338" t="s">
        <v>960</v>
      </c>
      <c r="C338" t="s">
        <v>63</v>
      </c>
      <c r="D338" t="s">
        <v>14</v>
      </c>
      <c r="E338" t="s">
        <v>15</v>
      </c>
      <c r="F338" t="s">
        <v>961</v>
      </c>
      <c r="G338" t="s">
        <v>25</v>
      </c>
      <c r="H338">
        <v>0</v>
      </c>
      <c r="I338">
        <v>13</v>
      </c>
    </row>
    <row r="339" spans="1:9">
      <c r="A339" t="s">
        <v>962</v>
      </c>
      <c r="B339" t="s">
        <v>963</v>
      </c>
      <c r="C339" t="s">
        <v>63</v>
      </c>
      <c r="D339" t="s">
        <v>14</v>
      </c>
      <c r="E339" t="s">
        <v>15</v>
      </c>
      <c r="F339" t="s">
        <v>914</v>
      </c>
      <c r="G339" t="s">
        <v>25</v>
      </c>
      <c r="H339">
        <v>0</v>
      </c>
      <c r="I339">
        <v>12</v>
      </c>
    </row>
    <row r="340" spans="1:9">
      <c r="A340" t="s">
        <v>964</v>
      </c>
      <c r="B340" t="s">
        <v>965</v>
      </c>
      <c r="C340" t="s">
        <v>29</v>
      </c>
      <c r="D340" t="s">
        <v>78</v>
      </c>
      <c r="E340" t="s">
        <v>30</v>
      </c>
      <c r="F340" t="s">
        <v>179</v>
      </c>
      <c r="G340" t="s">
        <v>17</v>
      </c>
      <c r="H340">
        <v>0</v>
      </c>
      <c r="I340">
        <v>20</v>
      </c>
    </row>
    <row r="341" spans="1:9">
      <c r="A341" t="s">
        <v>966</v>
      </c>
      <c r="B341" t="s">
        <v>967</v>
      </c>
      <c r="C341" t="s">
        <v>47</v>
      </c>
      <c r="D341" t="s">
        <v>14</v>
      </c>
      <c r="E341" t="s">
        <v>73</v>
      </c>
      <c r="F341" t="s">
        <v>430</v>
      </c>
      <c r="G341" t="s">
        <v>49</v>
      </c>
      <c r="H341">
        <v>0</v>
      </c>
      <c r="I341">
        <v>24</v>
      </c>
    </row>
    <row r="342" spans="1:9">
      <c r="A342" t="s">
        <v>968</v>
      </c>
      <c r="B342" t="s">
        <v>969</v>
      </c>
      <c r="C342" t="s">
        <v>29</v>
      </c>
      <c r="D342" t="s">
        <v>78</v>
      </c>
      <c r="E342" t="s">
        <v>73</v>
      </c>
      <c r="F342" t="s">
        <v>970</v>
      </c>
      <c r="G342" t="s">
        <v>17</v>
      </c>
      <c r="H342">
        <v>0</v>
      </c>
      <c r="I342">
        <v>28</v>
      </c>
    </row>
    <row r="343" spans="1:9">
      <c r="A343" t="s">
        <v>971</v>
      </c>
      <c r="B343" t="s">
        <v>972</v>
      </c>
      <c r="C343" t="s">
        <v>63</v>
      </c>
      <c r="D343" t="s">
        <v>58</v>
      </c>
      <c r="E343" t="s">
        <v>15</v>
      </c>
      <c r="F343" t="s">
        <v>117</v>
      </c>
      <c r="G343" t="s">
        <v>75</v>
      </c>
      <c r="H343">
        <v>0</v>
      </c>
      <c r="I343">
        <v>8</v>
      </c>
    </row>
    <row r="344" spans="1:9">
      <c r="A344" t="s">
        <v>973</v>
      </c>
      <c r="B344" t="s">
        <v>974</v>
      </c>
      <c r="C344" t="s">
        <v>47</v>
      </c>
      <c r="D344" t="s">
        <v>58</v>
      </c>
      <c r="E344" t="s">
        <v>30</v>
      </c>
      <c r="F344" t="s">
        <v>436</v>
      </c>
      <c r="G344" t="s">
        <v>17</v>
      </c>
      <c r="H344">
        <v>0</v>
      </c>
      <c r="I344">
        <v>26</v>
      </c>
    </row>
    <row r="345" spans="1:9">
      <c r="A345" t="s">
        <v>975</v>
      </c>
      <c r="B345" t="s">
        <v>976</v>
      </c>
      <c r="C345" t="s">
        <v>47</v>
      </c>
      <c r="D345" t="s">
        <v>36</v>
      </c>
      <c r="E345" t="s">
        <v>23</v>
      </c>
      <c r="F345" t="s">
        <v>977</v>
      </c>
      <c r="G345" t="s">
        <v>17</v>
      </c>
      <c r="H345">
        <v>0</v>
      </c>
      <c r="I345">
        <v>18</v>
      </c>
    </row>
    <row r="346" spans="1:9">
      <c r="A346" t="s">
        <v>978</v>
      </c>
      <c r="B346" t="s">
        <v>979</v>
      </c>
      <c r="C346" t="s">
        <v>13</v>
      </c>
      <c r="D346" t="s">
        <v>58</v>
      </c>
      <c r="E346" t="s">
        <v>30</v>
      </c>
      <c r="F346" t="s">
        <v>980</v>
      </c>
      <c r="G346" t="s">
        <v>75</v>
      </c>
      <c r="H346">
        <v>0</v>
      </c>
      <c r="I346">
        <v>15</v>
      </c>
    </row>
    <row r="347" spans="1:9">
      <c r="A347" t="s">
        <v>981</v>
      </c>
      <c r="B347" t="s">
        <v>982</v>
      </c>
      <c r="C347" t="s">
        <v>13</v>
      </c>
      <c r="D347" t="s">
        <v>36</v>
      </c>
      <c r="E347" t="s">
        <v>23</v>
      </c>
      <c r="F347" t="s">
        <v>70</v>
      </c>
      <c r="G347" t="s">
        <v>75</v>
      </c>
      <c r="H347">
        <v>0</v>
      </c>
      <c r="I347">
        <v>12</v>
      </c>
    </row>
    <row r="348" spans="1:9">
      <c r="A348" t="s">
        <v>983</v>
      </c>
      <c r="B348" t="s">
        <v>984</v>
      </c>
      <c r="C348" t="s">
        <v>63</v>
      </c>
      <c r="D348" t="s">
        <v>22</v>
      </c>
      <c r="E348" t="s">
        <v>30</v>
      </c>
      <c r="F348" t="s">
        <v>349</v>
      </c>
      <c r="G348" t="s">
        <v>17</v>
      </c>
      <c r="H348">
        <v>0</v>
      </c>
      <c r="I348">
        <v>6</v>
      </c>
    </row>
    <row r="349" spans="1:9">
      <c r="A349" t="s">
        <v>985</v>
      </c>
      <c r="B349" t="s">
        <v>986</v>
      </c>
      <c r="C349" t="s">
        <v>47</v>
      </c>
      <c r="D349" t="s">
        <v>58</v>
      </c>
      <c r="E349" t="s">
        <v>42</v>
      </c>
      <c r="F349" t="s">
        <v>987</v>
      </c>
      <c r="G349" t="s">
        <v>17</v>
      </c>
      <c r="H349">
        <v>0</v>
      </c>
      <c r="I349">
        <v>29</v>
      </c>
    </row>
    <row r="350" spans="1:9">
      <c r="A350" t="s">
        <v>988</v>
      </c>
      <c r="B350" t="s">
        <v>989</v>
      </c>
      <c r="C350" t="s">
        <v>35</v>
      </c>
      <c r="D350" t="s">
        <v>14</v>
      </c>
      <c r="E350" t="s">
        <v>23</v>
      </c>
      <c r="F350" t="s">
        <v>221</v>
      </c>
      <c r="G350" t="s">
        <v>17</v>
      </c>
      <c r="H350">
        <v>0</v>
      </c>
      <c r="I350">
        <v>28</v>
      </c>
    </row>
    <row r="351" spans="1:9">
      <c r="A351" t="s">
        <v>990</v>
      </c>
      <c r="B351" t="s">
        <v>991</v>
      </c>
      <c r="C351" t="s">
        <v>21</v>
      </c>
      <c r="D351" t="s">
        <v>58</v>
      </c>
      <c r="E351" t="s">
        <v>15</v>
      </c>
      <c r="F351" t="s">
        <v>992</v>
      </c>
      <c r="G351" t="s">
        <v>38</v>
      </c>
      <c r="H351">
        <v>0</v>
      </c>
      <c r="I351">
        <v>21</v>
      </c>
    </row>
    <row r="352" spans="1:9">
      <c r="A352" t="s">
        <v>993</v>
      </c>
      <c r="B352" t="s">
        <v>994</v>
      </c>
      <c r="C352" t="s">
        <v>21</v>
      </c>
      <c r="D352" t="s">
        <v>78</v>
      </c>
      <c r="E352" t="s">
        <v>42</v>
      </c>
      <c r="F352" t="s">
        <v>241</v>
      </c>
      <c r="G352" t="s">
        <v>25</v>
      </c>
      <c r="H352">
        <v>0</v>
      </c>
      <c r="I352">
        <v>25</v>
      </c>
    </row>
    <row r="353" spans="1:9">
      <c r="A353" t="s">
        <v>995</v>
      </c>
      <c r="B353" t="s">
        <v>996</v>
      </c>
      <c r="C353" t="s">
        <v>47</v>
      </c>
      <c r="D353" t="s">
        <v>78</v>
      </c>
      <c r="E353" t="s">
        <v>15</v>
      </c>
      <c r="F353" t="s">
        <v>997</v>
      </c>
      <c r="G353" t="s">
        <v>49</v>
      </c>
      <c r="H353">
        <v>0</v>
      </c>
      <c r="I353">
        <v>20</v>
      </c>
    </row>
    <row r="354" spans="1:9">
      <c r="A354" t="s">
        <v>998</v>
      </c>
      <c r="B354" t="s">
        <v>999</v>
      </c>
      <c r="C354" t="s">
        <v>21</v>
      </c>
      <c r="D354" t="s">
        <v>78</v>
      </c>
      <c r="E354" t="s">
        <v>23</v>
      </c>
      <c r="F354" t="s">
        <v>1000</v>
      </c>
      <c r="G354" t="s">
        <v>17</v>
      </c>
      <c r="H354">
        <v>0</v>
      </c>
      <c r="I354">
        <v>21</v>
      </c>
    </row>
    <row r="355" spans="1:9">
      <c r="A355" t="s">
        <v>1001</v>
      </c>
      <c r="B355" t="s">
        <v>1002</v>
      </c>
      <c r="C355" t="s">
        <v>35</v>
      </c>
      <c r="D355" t="s">
        <v>78</v>
      </c>
      <c r="E355" t="s">
        <v>42</v>
      </c>
      <c r="F355" t="s">
        <v>1003</v>
      </c>
      <c r="G355" t="s">
        <v>17</v>
      </c>
      <c r="H355">
        <v>0</v>
      </c>
      <c r="I355">
        <v>12</v>
      </c>
    </row>
    <row r="356" spans="1:9">
      <c r="A356" t="s">
        <v>1004</v>
      </c>
      <c r="B356" t="s">
        <v>1005</v>
      </c>
      <c r="C356" t="s">
        <v>13</v>
      </c>
      <c r="D356" t="s">
        <v>22</v>
      </c>
      <c r="E356" t="s">
        <v>23</v>
      </c>
      <c r="F356" t="s">
        <v>1006</v>
      </c>
      <c r="G356" t="s">
        <v>49</v>
      </c>
      <c r="H356">
        <v>0</v>
      </c>
      <c r="I356">
        <v>25</v>
      </c>
    </row>
    <row r="357" spans="1:9">
      <c r="A357" t="s">
        <v>1007</v>
      </c>
      <c r="B357" t="s">
        <v>1008</v>
      </c>
      <c r="C357" t="s">
        <v>21</v>
      </c>
      <c r="D357" t="s">
        <v>14</v>
      </c>
      <c r="E357" t="s">
        <v>30</v>
      </c>
      <c r="F357" t="s">
        <v>235</v>
      </c>
      <c r="G357" t="s">
        <v>49</v>
      </c>
      <c r="H357">
        <v>0</v>
      </c>
      <c r="I357">
        <v>19</v>
      </c>
    </row>
    <row r="358" spans="1:9">
      <c r="A358" t="s">
        <v>1009</v>
      </c>
      <c r="B358" t="s">
        <v>1010</v>
      </c>
      <c r="C358" t="s">
        <v>29</v>
      </c>
      <c r="D358" t="s">
        <v>14</v>
      </c>
      <c r="E358" t="s">
        <v>23</v>
      </c>
      <c r="F358" t="s">
        <v>1011</v>
      </c>
      <c r="G358" t="s">
        <v>38</v>
      </c>
      <c r="H358">
        <v>0</v>
      </c>
      <c r="I358">
        <v>4</v>
      </c>
    </row>
    <row r="359" spans="1:9">
      <c r="A359" t="s">
        <v>1012</v>
      </c>
      <c r="B359" t="s">
        <v>1013</v>
      </c>
      <c r="C359" t="s">
        <v>29</v>
      </c>
      <c r="D359" t="s">
        <v>58</v>
      </c>
      <c r="E359" t="s">
        <v>15</v>
      </c>
      <c r="F359" t="s">
        <v>358</v>
      </c>
      <c r="G359" t="s">
        <v>75</v>
      </c>
      <c r="H359">
        <v>0</v>
      </c>
      <c r="I359">
        <v>22</v>
      </c>
    </row>
    <row r="360" spans="1:9">
      <c r="A360" t="s">
        <v>1014</v>
      </c>
      <c r="B360" t="s">
        <v>1015</v>
      </c>
      <c r="C360" t="s">
        <v>63</v>
      </c>
      <c r="D360" t="s">
        <v>22</v>
      </c>
      <c r="E360" t="s">
        <v>15</v>
      </c>
      <c r="F360" t="s">
        <v>372</v>
      </c>
      <c r="G360" t="s">
        <v>38</v>
      </c>
      <c r="H360">
        <v>0</v>
      </c>
      <c r="I360">
        <v>2</v>
      </c>
    </row>
    <row r="361" spans="1:9">
      <c r="A361" t="s">
        <v>1016</v>
      </c>
      <c r="B361" t="s">
        <v>1017</v>
      </c>
      <c r="C361" t="s">
        <v>21</v>
      </c>
      <c r="D361" t="s">
        <v>78</v>
      </c>
      <c r="E361" t="s">
        <v>23</v>
      </c>
      <c r="F361" t="s">
        <v>591</v>
      </c>
      <c r="G361" t="s">
        <v>75</v>
      </c>
      <c r="H361">
        <v>0</v>
      </c>
      <c r="I361">
        <v>10</v>
      </c>
    </row>
    <row r="362" spans="1:9">
      <c r="A362" t="s">
        <v>1018</v>
      </c>
      <c r="B362" t="s">
        <v>1019</v>
      </c>
      <c r="C362" t="s">
        <v>13</v>
      </c>
      <c r="D362" t="s">
        <v>14</v>
      </c>
      <c r="E362" t="s">
        <v>42</v>
      </c>
      <c r="F362" t="s">
        <v>1020</v>
      </c>
      <c r="G362" t="s">
        <v>17</v>
      </c>
      <c r="H362">
        <v>0</v>
      </c>
      <c r="I362">
        <v>7</v>
      </c>
    </row>
    <row r="363" spans="1:9">
      <c r="A363" t="s">
        <v>1021</v>
      </c>
      <c r="B363" t="s">
        <v>1022</v>
      </c>
      <c r="C363" t="s">
        <v>29</v>
      </c>
      <c r="D363" t="s">
        <v>58</v>
      </c>
      <c r="E363" t="s">
        <v>23</v>
      </c>
      <c r="F363" t="s">
        <v>215</v>
      </c>
      <c r="G363" t="s">
        <v>75</v>
      </c>
      <c r="H363">
        <v>0</v>
      </c>
      <c r="I363">
        <v>19</v>
      </c>
    </row>
    <row r="364" spans="1:9">
      <c r="A364" t="s">
        <v>1023</v>
      </c>
      <c r="B364" t="s">
        <v>1024</v>
      </c>
      <c r="C364" t="s">
        <v>63</v>
      </c>
      <c r="D364" t="s">
        <v>78</v>
      </c>
      <c r="E364" t="s">
        <v>73</v>
      </c>
      <c r="F364" t="s">
        <v>616</v>
      </c>
      <c r="G364" t="s">
        <v>49</v>
      </c>
      <c r="H364">
        <v>0</v>
      </c>
      <c r="I364">
        <v>14</v>
      </c>
    </row>
    <row r="365" spans="1:9">
      <c r="A365" t="s">
        <v>1025</v>
      </c>
      <c r="B365" t="s">
        <v>1026</v>
      </c>
      <c r="C365" t="s">
        <v>13</v>
      </c>
      <c r="D365" t="s">
        <v>36</v>
      </c>
      <c r="E365" t="s">
        <v>15</v>
      </c>
      <c r="F365" t="s">
        <v>352</v>
      </c>
      <c r="G365" t="s">
        <v>75</v>
      </c>
      <c r="H365">
        <v>0</v>
      </c>
      <c r="I365">
        <v>3</v>
      </c>
    </row>
    <row r="366" spans="1:9">
      <c r="A366" t="s">
        <v>1027</v>
      </c>
      <c r="B366" t="s">
        <v>1028</v>
      </c>
      <c r="C366" t="s">
        <v>47</v>
      </c>
      <c r="D366" t="s">
        <v>14</v>
      </c>
      <c r="E366" t="s">
        <v>23</v>
      </c>
      <c r="F366" t="s">
        <v>713</v>
      </c>
      <c r="G366" t="s">
        <v>17</v>
      </c>
      <c r="H366">
        <v>0</v>
      </c>
      <c r="I366">
        <v>10</v>
      </c>
    </row>
    <row r="367" spans="1:9">
      <c r="A367" t="s">
        <v>1029</v>
      </c>
      <c r="B367" t="s">
        <v>1030</v>
      </c>
      <c r="C367" t="s">
        <v>13</v>
      </c>
      <c r="D367" t="s">
        <v>22</v>
      </c>
      <c r="E367" t="s">
        <v>73</v>
      </c>
      <c r="F367" t="s">
        <v>674</v>
      </c>
      <c r="G367" t="s">
        <v>49</v>
      </c>
      <c r="H367">
        <v>0</v>
      </c>
      <c r="I367">
        <v>10</v>
      </c>
    </row>
    <row r="368" spans="1:9">
      <c r="A368" t="s">
        <v>1031</v>
      </c>
      <c r="B368" t="s">
        <v>1032</v>
      </c>
      <c r="C368" t="s">
        <v>63</v>
      </c>
      <c r="D368" t="s">
        <v>58</v>
      </c>
      <c r="E368" t="s">
        <v>42</v>
      </c>
      <c r="F368" t="s">
        <v>1033</v>
      </c>
      <c r="G368" t="s">
        <v>75</v>
      </c>
      <c r="H368">
        <v>0</v>
      </c>
      <c r="I368">
        <v>28</v>
      </c>
    </row>
    <row r="369" spans="1:9">
      <c r="A369" t="s">
        <v>1034</v>
      </c>
      <c r="B369" t="s">
        <v>1035</v>
      </c>
      <c r="C369" t="s">
        <v>13</v>
      </c>
      <c r="D369" t="s">
        <v>22</v>
      </c>
      <c r="E369" t="s">
        <v>42</v>
      </c>
      <c r="F369" t="s">
        <v>625</v>
      </c>
      <c r="G369" t="s">
        <v>49</v>
      </c>
      <c r="H369">
        <v>0</v>
      </c>
      <c r="I369">
        <v>30</v>
      </c>
    </row>
    <row r="370" spans="1:9">
      <c r="A370" t="s">
        <v>1036</v>
      </c>
      <c r="B370" t="s">
        <v>1037</v>
      </c>
      <c r="C370" t="s">
        <v>47</v>
      </c>
      <c r="D370" t="s">
        <v>22</v>
      </c>
      <c r="E370" t="s">
        <v>15</v>
      </c>
      <c r="F370" t="s">
        <v>31</v>
      </c>
      <c r="G370" t="s">
        <v>54</v>
      </c>
      <c r="H370">
        <v>68722</v>
      </c>
      <c r="I370">
        <v>21</v>
      </c>
    </row>
    <row r="371" spans="1:9">
      <c r="A371" t="s">
        <v>1038</v>
      </c>
      <c r="B371" t="s">
        <v>1039</v>
      </c>
      <c r="C371" t="s">
        <v>21</v>
      </c>
      <c r="D371" t="s">
        <v>58</v>
      </c>
      <c r="E371" t="s">
        <v>23</v>
      </c>
      <c r="F371" t="s">
        <v>741</v>
      </c>
      <c r="G371" t="s">
        <v>75</v>
      </c>
      <c r="H371">
        <v>0</v>
      </c>
      <c r="I371">
        <v>13</v>
      </c>
    </row>
    <row r="372" spans="1:9">
      <c r="A372" t="s">
        <v>1040</v>
      </c>
      <c r="B372" t="s">
        <v>1041</v>
      </c>
      <c r="C372" t="s">
        <v>13</v>
      </c>
      <c r="D372" t="s">
        <v>14</v>
      </c>
      <c r="E372" t="s">
        <v>42</v>
      </c>
      <c r="F372" t="s">
        <v>1042</v>
      </c>
      <c r="G372" t="s">
        <v>75</v>
      </c>
      <c r="H372">
        <v>0</v>
      </c>
      <c r="I372">
        <v>9</v>
      </c>
    </row>
    <row r="373" spans="1:9">
      <c r="A373" t="s">
        <v>1043</v>
      </c>
      <c r="B373" t="s">
        <v>1044</v>
      </c>
      <c r="C373" t="s">
        <v>29</v>
      </c>
      <c r="D373" t="s">
        <v>36</v>
      </c>
      <c r="E373" t="s">
        <v>30</v>
      </c>
      <c r="F373" t="s">
        <v>1045</v>
      </c>
      <c r="G373" t="s">
        <v>17</v>
      </c>
      <c r="H373">
        <v>0</v>
      </c>
      <c r="I373">
        <v>21</v>
      </c>
    </row>
    <row r="374" spans="1:9">
      <c r="A374" t="s">
        <v>1046</v>
      </c>
      <c r="B374" t="s">
        <v>1047</v>
      </c>
      <c r="C374" t="s">
        <v>63</v>
      </c>
      <c r="D374" t="s">
        <v>22</v>
      </c>
      <c r="E374" t="s">
        <v>42</v>
      </c>
      <c r="F374" t="s">
        <v>710</v>
      </c>
      <c r="G374" t="s">
        <v>49</v>
      </c>
      <c r="H374">
        <v>0</v>
      </c>
      <c r="I374">
        <v>8</v>
      </c>
    </row>
    <row r="375" spans="1:9">
      <c r="A375" t="s">
        <v>1048</v>
      </c>
      <c r="B375" t="s">
        <v>1049</v>
      </c>
      <c r="C375" t="s">
        <v>13</v>
      </c>
      <c r="D375" t="s">
        <v>22</v>
      </c>
      <c r="E375" t="s">
        <v>73</v>
      </c>
      <c r="F375" t="s">
        <v>724</v>
      </c>
      <c r="G375" t="s">
        <v>25</v>
      </c>
      <c r="H375">
        <v>0</v>
      </c>
      <c r="I375">
        <v>28</v>
      </c>
    </row>
    <row r="376" spans="1:9">
      <c r="A376" t="s">
        <v>1050</v>
      </c>
      <c r="B376" t="s">
        <v>1051</v>
      </c>
      <c r="C376" t="s">
        <v>21</v>
      </c>
      <c r="D376" t="s">
        <v>14</v>
      </c>
      <c r="E376" t="s">
        <v>23</v>
      </c>
      <c r="F376" t="s">
        <v>1052</v>
      </c>
      <c r="G376" t="s">
        <v>54</v>
      </c>
      <c r="H376">
        <v>205873</v>
      </c>
      <c r="I376">
        <v>30</v>
      </c>
    </row>
    <row r="377" spans="1:9">
      <c r="A377" t="s">
        <v>1053</v>
      </c>
      <c r="B377" t="s">
        <v>1054</v>
      </c>
      <c r="C377" t="s">
        <v>13</v>
      </c>
      <c r="D377" t="s">
        <v>36</v>
      </c>
      <c r="E377" t="s">
        <v>42</v>
      </c>
      <c r="F377" t="s">
        <v>773</v>
      </c>
      <c r="G377" t="s">
        <v>38</v>
      </c>
      <c r="H377">
        <v>0</v>
      </c>
      <c r="I377">
        <v>20</v>
      </c>
    </row>
    <row r="378" spans="1:9">
      <c r="A378" t="s">
        <v>1055</v>
      </c>
      <c r="B378" t="s">
        <v>1056</v>
      </c>
      <c r="C378" t="s">
        <v>35</v>
      </c>
      <c r="D378" t="s">
        <v>14</v>
      </c>
      <c r="E378" t="s">
        <v>30</v>
      </c>
      <c r="F378" t="s">
        <v>611</v>
      </c>
      <c r="G378" t="s">
        <v>38</v>
      </c>
      <c r="H378">
        <v>0</v>
      </c>
      <c r="I378">
        <v>12</v>
      </c>
    </row>
    <row r="379" spans="1:9">
      <c r="A379" t="s">
        <v>1057</v>
      </c>
      <c r="B379" t="s">
        <v>1058</v>
      </c>
      <c r="C379" t="s">
        <v>29</v>
      </c>
      <c r="D379" t="s">
        <v>14</v>
      </c>
      <c r="E379" t="s">
        <v>73</v>
      </c>
      <c r="F379" t="s">
        <v>665</v>
      </c>
      <c r="G379" t="s">
        <v>17</v>
      </c>
      <c r="H379">
        <v>0</v>
      </c>
      <c r="I379">
        <v>6</v>
      </c>
    </row>
    <row r="380" spans="1:9">
      <c r="A380" t="s">
        <v>1059</v>
      </c>
      <c r="B380" t="s">
        <v>1060</v>
      </c>
      <c r="C380" t="s">
        <v>47</v>
      </c>
      <c r="D380" t="s">
        <v>22</v>
      </c>
      <c r="E380" t="s">
        <v>73</v>
      </c>
      <c r="F380" t="s">
        <v>660</v>
      </c>
      <c r="G380" t="s">
        <v>17</v>
      </c>
      <c r="H380">
        <v>0</v>
      </c>
      <c r="I380">
        <v>8</v>
      </c>
    </row>
    <row r="381" spans="1:9">
      <c r="A381" t="s">
        <v>1061</v>
      </c>
      <c r="B381" t="s">
        <v>1062</v>
      </c>
      <c r="C381" t="s">
        <v>63</v>
      </c>
      <c r="D381" t="s">
        <v>14</v>
      </c>
      <c r="E381" t="s">
        <v>42</v>
      </c>
      <c r="F381" t="s">
        <v>433</v>
      </c>
      <c r="G381" t="s">
        <v>54</v>
      </c>
      <c r="H381">
        <v>240723</v>
      </c>
      <c r="I381">
        <v>27</v>
      </c>
    </row>
    <row r="382" spans="1:9">
      <c r="A382" t="s">
        <v>1063</v>
      </c>
      <c r="B382" t="s">
        <v>1064</v>
      </c>
      <c r="C382" t="s">
        <v>47</v>
      </c>
      <c r="D382" t="s">
        <v>14</v>
      </c>
      <c r="E382" t="s">
        <v>42</v>
      </c>
      <c r="F382" t="s">
        <v>235</v>
      </c>
      <c r="G382" t="s">
        <v>54</v>
      </c>
      <c r="H382">
        <v>300525</v>
      </c>
      <c r="I382">
        <v>8</v>
      </c>
    </row>
    <row r="383" spans="1:9">
      <c r="A383" t="s">
        <v>1065</v>
      </c>
      <c r="B383" t="s">
        <v>1066</v>
      </c>
      <c r="C383" t="s">
        <v>47</v>
      </c>
      <c r="D383" t="s">
        <v>22</v>
      </c>
      <c r="E383" t="s">
        <v>15</v>
      </c>
      <c r="F383" t="s">
        <v>59</v>
      </c>
      <c r="G383" t="s">
        <v>75</v>
      </c>
      <c r="H383">
        <v>0</v>
      </c>
      <c r="I383">
        <v>8</v>
      </c>
    </row>
    <row r="384" spans="1:9">
      <c r="A384" t="s">
        <v>1067</v>
      </c>
      <c r="B384" t="s">
        <v>1068</v>
      </c>
      <c r="C384" t="s">
        <v>63</v>
      </c>
      <c r="D384" t="s">
        <v>36</v>
      </c>
      <c r="E384" t="s">
        <v>42</v>
      </c>
      <c r="F384" t="s">
        <v>292</v>
      </c>
      <c r="G384" t="s">
        <v>25</v>
      </c>
      <c r="H384">
        <v>0</v>
      </c>
      <c r="I384">
        <v>18</v>
      </c>
    </row>
    <row r="385" spans="1:9">
      <c r="A385" t="s">
        <v>1069</v>
      </c>
      <c r="B385" t="s">
        <v>1070</v>
      </c>
      <c r="C385" t="s">
        <v>47</v>
      </c>
      <c r="D385" t="s">
        <v>22</v>
      </c>
      <c r="E385" t="s">
        <v>15</v>
      </c>
      <c r="F385" t="s">
        <v>908</v>
      </c>
      <c r="G385" t="s">
        <v>17</v>
      </c>
      <c r="H385">
        <v>0</v>
      </c>
      <c r="I385">
        <v>16</v>
      </c>
    </row>
    <row r="386" spans="1:9">
      <c r="A386" t="s">
        <v>1071</v>
      </c>
      <c r="B386" t="s">
        <v>1072</v>
      </c>
      <c r="C386" t="s">
        <v>13</v>
      </c>
      <c r="D386" t="s">
        <v>78</v>
      </c>
      <c r="E386" t="s">
        <v>73</v>
      </c>
      <c r="F386" t="s">
        <v>1073</v>
      </c>
      <c r="G386" t="s">
        <v>54</v>
      </c>
      <c r="H386">
        <v>340346</v>
      </c>
      <c r="I386">
        <v>10</v>
      </c>
    </row>
    <row r="387" spans="1:9">
      <c r="A387" t="s">
        <v>1074</v>
      </c>
      <c r="B387" t="s">
        <v>1075</v>
      </c>
      <c r="C387" t="s">
        <v>47</v>
      </c>
      <c r="D387" t="s">
        <v>78</v>
      </c>
      <c r="E387" t="s">
        <v>42</v>
      </c>
      <c r="F387" t="s">
        <v>218</v>
      </c>
      <c r="G387" t="s">
        <v>17</v>
      </c>
      <c r="H387">
        <v>0</v>
      </c>
      <c r="I387">
        <v>11</v>
      </c>
    </row>
    <row r="388" spans="1:9">
      <c r="A388" t="s">
        <v>1076</v>
      </c>
      <c r="B388" t="s">
        <v>1077</v>
      </c>
      <c r="C388" t="s">
        <v>63</v>
      </c>
      <c r="D388" t="s">
        <v>58</v>
      </c>
      <c r="E388" t="s">
        <v>23</v>
      </c>
      <c r="F388" t="s">
        <v>221</v>
      </c>
      <c r="G388" t="s">
        <v>49</v>
      </c>
      <c r="H388">
        <v>0</v>
      </c>
      <c r="I388">
        <v>26</v>
      </c>
    </row>
    <row r="389" spans="1:9">
      <c r="A389" t="s">
        <v>1078</v>
      </c>
      <c r="B389" t="s">
        <v>1079</v>
      </c>
      <c r="C389" t="s">
        <v>47</v>
      </c>
      <c r="D389" t="s">
        <v>14</v>
      </c>
      <c r="E389" t="s">
        <v>42</v>
      </c>
      <c r="F389" t="s">
        <v>1080</v>
      </c>
      <c r="G389" t="s">
        <v>49</v>
      </c>
      <c r="H389">
        <v>0</v>
      </c>
      <c r="I389">
        <v>26</v>
      </c>
    </row>
    <row r="390" spans="1:9">
      <c r="A390" t="s">
        <v>1081</v>
      </c>
      <c r="B390" t="s">
        <v>1082</v>
      </c>
      <c r="C390" t="s">
        <v>13</v>
      </c>
      <c r="D390" t="s">
        <v>14</v>
      </c>
      <c r="E390" t="s">
        <v>42</v>
      </c>
      <c r="F390" t="s">
        <v>93</v>
      </c>
      <c r="G390" t="s">
        <v>38</v>
      </c>
      <c r="H390">
        <v>0</v>
      </c>
      <c r="I390">
        <v>22</v>
      </c>
    </row>
    <row r="391" spans="1:9">
      <c r="A391" t="s">
        <v>1083</v>
      </c>
      <c r="B391" t="s">
        <v>1084</v>
      </c>
      <c r="C391" t="s">
        <v>29</v>
      </c>
      <c r="D391" t="s">
        <v>36</v>
      </c>
      <c r="E391" t="s">
        <v>42</v>
      </c>
      <c r="F391" t="s">
        <v>1085</v>
      </c>
      <c r="G391" t="s">
        <v>25</v>
      </c>
      <c r="H391">
        <v>0</v>
      </c>
      <c r="I391">
        <v>29</v>
      </c>
    </row>
    <row r="392" spans="1:9">
      <c r="A392" t="s">
        <v>1086</v>
      </c>
      <c r="B392" t="s">
        <v>1087</v>
      </c>
      <c r="C392" t="s">
        <v>47</v>
      </c>
      <c r="D392" t="s">
        <v>22</v>
      </c>
      <c r="E392" t="s">
        <v>15</v>
      </c>
      <c r="F392" t="s">
        <v>1088</v>
      </c>
      <c r="G392" t="s">
        <v>38</v>
      </c>
      <c r="H392">
        <v>0</v>
      </c>
      <c r="I392">
        <v>19</v>
      </c>
    </row>
    <row r="393" spans="1:9">
      <c r="A393" t="s">
        <v>1089</v>
      </c>
      <c r="B393" t="s">
        <v>1090</v>
      </c>
      <c r="C393" t="s">
        <v>63</v>
      </c>
      <c r="D393" t="s">
        <v>58</v>
      </c>
      <c r="E393" t="s">
        <v>73</v>
      </c>
      <c r="F393" t="s">
        <v>1091</v>
      </c>
      <c r="G393" t="s">
        <v>49</v>
      </c>
      <c r="H393">
        <v>0</v>
      </c>
      <c r="I393">
        <v>23</v>
      </c>
    </row>
    <row r="394" spans="1:9">
      <c r="A394" t="s">
        <v>1092</v>
      </c>
      <c r="B394" t="s">
        <v>1093</v>
      </c>
      <c r="C394" t="s">
        <v>47</v>
      </c>
      <c r="D394" t="s">
        <v>22</v>
      </c>
      <c r="E394" t="s">
        <v>23</v>
      </c>
      <c r="F394" t="s">
        <v>1094</v>
      </c>
      <c r="G394" t="s">
        <v>75</v>
      </c>
      <c r="H394">
        <v>0</v>
      </c>
      <c r="I394">
        <v>4</v>
      </c>
    </row>
    <row r="395" spans="1:9">
      <c r="A395" t="s">
        <v>1095</v>
      </c>
      <c r="B395" t="s">
        <v>1096</v>
      </c>
      <c r="C395" t="s">
        <v>21</v>
      </c>
      <c r="D395" t="s">
        <v>78</v>
      </c>
      <c r="E395" t="s">
        <v>30</v>
      </c>
      <c r="F395" t="s">
        <v>510</v>
      </c>
      <c r="G395" t="s">
        <v>49</v>
      </c>
      <c r="H395">
        <v>0</v>
      </c>
      <c r="I395">
        <v>25</v>
      </c>
    </row>
    <row r="396" spans="1:9">
      <c r="A396" t="s">
        <v>1097</v>
      </c>
      <c r="B396" t="s">
        <v>1098</v>
      </c>
      <c r="C396" t="s">
        <v>21</v>
      </c>
      <c r="D396" t="s">
        <v>58</v>
      </c>
      <c r="E396" t="s">
        <v>23</v>
      </c>
      <c r="F396" t="s">
        <v>1099</v>
      </c>
      <c r="G396" t="s">
        <v>17</v>
      </c>
      <c r="H396">
        <v>0</v>
      </c>
      <c r="I396">
        <v>17</v>
      </c>
    </row>
    <row r="397" spans="1:9">
      <c r="A397" t="s">
        <v>1100</v>
      </c>
      <c r="B397" t="s">
        <v>1101</v>
      </c>
      <c r="C397" t="s">
        <v>29</v>
      </c>
      <c r="D397" t="s">
        <v>36</v>
      </c>
      <c r="E397" t="s">
        <v>73</v>
      </c>
      <c r="F397" t="s">
        <v>414</v>
      </c>
      <c r="G397" t="s">
        <v>17</v>
      </c>
      <c r="H397">
        <v>0</v>
      </c>
      <c r="I397">
        <v>22</v>
      </c>
    </row>
    <row r="398" spans="1:9">
      <c r="A398" t="s">
        <v>1102</v>
      </c>
      <c r="B398" t="s">
        <v>1103</v>
      </c>
      <c r="C398" t="s">
        <v>21</v>
      </c>
      <c r="D398" t="s">
        <v>22</v>
      </c>
      <c r="E398" t="s">
        <v>30</v>
      </c>
      <c r="F398" t="s">
        <v>622</v>
      </c>
      <c r="G398" t="s">
        <v>25</v>
      </c>
      <c r="H398">
        <v>0</v>
      </c>
      <c r="I398">
        <v>4</v>
      </c>
    </row>
    <row r="399" spans="1:9">
      <c r="A399" t="s">
        <v>1104</v>
      </c>
      <c r="B399" t="s">
        <v>1105</v>
      </c>
      <c r="C399" t="s">
        <v>29</v>
      </c>
      <c r="D399" t="s">
        <v>58</v>
      </c>
      <c r="E399" t="s">
        <v>23</v>
      </c>
      <c r="F399" t="s">
        <v>349</v>
      </c>
      <c r="G399" t="s">
        <v>75</v>
      </c>
      <c r="H399">
        <v>0</v>
      </c>
      <c r="I399">
        <v>19</v>
      </c>
    </row>
    <row r="400" spans="1:9">
      <c r="A400" t="s">
        <v>1106</v>
      </c>
      <c r="B400" t="s">
        <v>1107</v>
      </c>
      <c r="C400" t="s">
        <v>21</v>
      </c>
      <c r="D400" t="s">
        <v>78</v>
      </c>
      <c r="E400" t="s">
        <v>73</v>
      </c>
      <c r="F400" t="s">
        <v>150</v>
      </c>
      <c r="G400" t="s">
        <v>38</v>
      </c>
      <c r="H400">
        <v>0</v>
      </c>
      <c r="I400">
        <v>7</v>
      </c>
    </row>
    <row r="401" spans="1:9">
      <c r="A401" t="s">
        <v>1108</v>
      </c>
      <c r="B401" t="s">
        <v>1109</v>
      </c>
      <c r="C401" t="s">
        <v>21</v>
      </c>
      <c r="D401" t="s">
        <v>36</v>
      </c>
      <c r="E401" t="s">
        <v>30</v>
      </c>
      <c r="F401" t="s">
        <v>879</v>
      </c>
      <c r="G401" t="s">
        <v>49</v>
      </c>
      <c r="H401">
        <v>0</v>
      </c>
      <c r="I401">
        <v>8</v>
      </c>
    </row>
    <row r="402" spans="1:9">
      <c r="A402" t="s">
        <v>1110</v>
      </c>
      <c r="B402" t="s">
        <v>1111</v>
      </c>
      <c r="C402" t="s">
        <v>35</v>
      </c>
      <c r="D402" t="s">
        <v>78</v>
      </c>
      <c r="E402" t="s">
        <v>30</v>
      </c>
      <c r="F402" t="s">
        <v>1112</v>
      </c>
      <c r="G402" t="s">
        <v>75</v>
      </c>
      <c r="H402">
        <v>0</v>
      </c>
      <c r="I402">
        <v>6</v>
      </c>
    </row>
    <row r="403" spans="1:9">
      <c r="A403" t="s">
        <v>1113</v>
      </c>
      <c r="B403" t="s">
        <v>1114</v>
      </c>
      <c r="C403" t="s">
        <v>13</v>
      </c>
      <c r="D403" t="s">
        <v>78</v>
      </c>
      <c r="E403" t="s">
        <v>23</v>
      </c>
      <c r="F403" t="s">
        <v>1115</v>
      </c>
      <c r="G403" t="s">
        <v>38</v>
      </c>
      <c r="H403">
        <v>0</v>
      </c>
      <c r="I403">
        <v>3</v>
      </c>
    </row>
    <row r="404" spans="1:9">
      <c r="A404" t="s">
        <v>1116</v>
      </c>
      <c r="B404" t="s">
        <v>1117</v>
      </c>
      <c r="C404" t="s">
        <v>21</v>
      </c>
      <c r="D404" t="s">
        <v>78</v>
      </c>
      <c r="E404" t="s">
        <v>23</v>
      </c>
      <c r="F404" t="s">
        <v>241</v>
      </c>
      <c r="G404" t="s">
        <v>49</v>
      </c>
      <c r="H404">
        <v>0</v>
      </c>
      <c r="I404">
        <v>26</v>
      </c>
    </row>
    <row r="405" spans="1:9">
      <c r="A405" t="s">
        <v>1118</v>
      </c>
      <c r="B405" t="s">
        <v>1119</v>
      </c>
      <c r="C405" t="s">
        <v>29</v>
      </c>
      <c r="D405" t="s">
        <v>78</v>
      </c>
      <c r="E405" t="s">
        <v>30</v>
      </c>
      <c r="F405" t="s">
        <v>1120</v>
      </c>
      <c r="G405" t="s">
        <v>17</v>
      </c>
      <c r="H405">
        <v>0</v>
      </c>
      <c r="I405">
        <v>27</v>
      </c>
    </row>
    <row r="406" spans="1:9">
      <c r="A406" t="s">
        <v>1121</v>
      </c>
      <c r="B406" t="s">
        <v>1122</v>
      </c>
      <c r="C406" t="s">
        <v>63</v>
      </c>
      <c r="D406" t="s">
        <v>58</v>
      </c>
      <c r="E406" t="s">
        <v>23</v>
      </c>
      <c r="F406" t="s">
        <v>1123</v>
      </c>
      <c r="G406" t="s">
        <v>38</v>
      </c>
      <c r="H406">
        <v>0</v>
      </c>
      <c r="I406">
        <v>13</v>
      </c>
    </row>
    <row r="407" spans="1:9">
      <c r="A407" t="s">
        <v>1124</v>
      </c>
      <c r="B407" t="s">
        <v>1125</v>
      </c>
      <c r="C407" t="s">
        <v>47</v>
      </c>
      <c r="D407" t="s">
        <v>22</v>
      </c>
      <c r="E407" t="s">
        <v>73</v>
      </c>
      <c r="F407" t="s">
        <v>1126</v>
      </c>
      <c r="G407" t="s">
        <v>75</v>
      </c>
      <c r="H407">
        <v>0</v>
      </c>
      <c r="I407">
        <v>24</v>
      </c>
    </row>
    <row r="408" spans="1:9">
      <c r="A408" t="s">
        <v>1127</v>
      </c>
      <c r="B408" t="s">
        <v>1128</v>
      </c>
      <c r="C408" t="s">
        <v>47</v>
      </c>
      <c r="D408" t="s">
        <v>14</v>
      </c>
      <c r="E408" t="s">
        <v>73</v>
      </c>
      <c r="F408" t="s">
        <v>828</v>
      </c>
      <c r="G408" t="s">
        <v>49</v>
      </c>
      <c r="H408">
        <v>0</v>
      </c>
      <c r="I408">
        <v>15</v>
      </c>
    </row>
    <row r="409" spans="1:9">
      <c r="A409" t="s">
        <v>1129</v>
      </c>
      <c r="B409" t="s">
        <v>1130</v>
      </c>
      <c r="C409" t="s">
        <v>21</v>
      </c>
      <c r="D409" t="s">
        <v>78</v>
      </c>
      <c r="E409" t="s">
        <v>23</v>
      </c>
      <c r="F409" t="s">
        <v>1131</v>
      </c>
      <c r="G409" t="s">
        <v>17</v>
      </c>
      <c r="H409">
        <v>0</v>
      </c>
      <c r="I409">
        <v>30</v>
      </c>
    </row>
    <row r="410" spans="1:9">
      <c r="A410" t="s">
        <v>1132</v>
      </c>
      <c r="B410" t="s">
        <v>1133</v>
      </c>
      <c r="C410" t="s">
        <v>21</v>
      </c>
      <c r="D410" t="s">
        <v>78</v>
      </c>
      <c r="E410" t="s">
        <v>73</v>
      </c>
      <c r="F410" t="s">
        <v>1134</v>
      </c>
      <c r="G410" t="s">
        <v>75</v>
      </c>
      <c r="H410">
        <v>0</v>
      </c>
      <c r="I410">
        <v>18</v>
      </c>
    </row>
    <row r="411" spans="1:9">
      <c r="A411" t="s">
        <v>1135</v>
      </c>
      <c r="B411" t="s">
        <v>1136</v>
      </c>
      <c r="C411" t="s">
        <v>35</v>
      </c>
      <c r="D411" t="s">
        <v>14</v>
      </c>
      <c r="E411" t="s">
        <v>73</v>
      </c>
      <c r="F411" t="s">
        <v>313</v>
      </c>
      <c r="G411" t="s">
        <v>54</v>
      </c>
      <c r="H411">
        <v>366178</v>
      </c>
      <c r="I411">
        <v>28</v>
      </c>
    </row>
    <row r="412" spans="1:9">
      <c r="A412" t="s">
        <v>1137</v>
      </c>
      <c r="B412" t="s">
        <v>1138</v>
      </c>
      <c r="C412" t="s">
        <v>47</v>
      </c>
      <c r="D412" t="s">
        <v>58</v>
      </c>
      <c r="E412" t="s">
        <v>23</v>
      </c>
      <c r="F412" t="s">
        <v>67</v>
      </c>
      <c r="G412" t="s">
        <v>25</v>
      </c>
      <c r="H412">
        <v>0</v>
      </c>
      <c r="I412">
        <v>3</v>
      </c>
    </row>
    <row r="413" spans="1:9">
      <c r="A413" t="s">
        <v>1139</v>
      </c>
      <c r="B413" t="s">
        <v>1140</v>
      </c>
      <c r="C413" t="s">
        <v>47</v>
      </c>
      <c r="D413" t="s">
        <v>14</v>
      </c>
      <c r="E413" t="s">
        <v>30</v>
      </c>
      <c r="F413" t="s">
        <v>1141</v>
      </c>
      <c r="G413" t="s">
        <v>54</v>
      </c>
      <c r="H413">
        <v>123464</v>
      </c>
      <c r="I413">
        <v>3</v>
      </c>
    </row>
    <row r="414" spans="1:9">
      <c r="A414" t="s">
        <v>1142</v>
      </c>
      <c r="B414" t="s">
        <v>1143</v>
      </c>
      <c r="C414" t="s">
        <v>35</v>
      </c>
      <c r="D414" t="s">
        <v>78</v>
      </c>
      <c r="E414" t="s">
        <v>23</v>
      </c>
      <c r="F414" t="s">
        <v>1144</v>
      </c>
      <c r="G414" t="s">
        <v>49</v>
      </c>
      <c r="H414">
        <v>0</v>
      </c>
      <c r="I414">
        <v>18</v>
      </c>
    </row>
    <row r="415" spans="1:9">
      <c r="A415" t="s">
        <v>1145</v>
      </c>
      <c r="B415" t="s">
        <v>1146</v>
      </c>
      <c r="C415" t="s">
        <v>47</v>
      </c>
      <c r="D415" t="s">
        <v>22</v>
      </c>
      <c r="E415" t="s">
        <v>23</v>
      </c>
      <c r="F415" t="s">
        <v>1147</v>
      </c>
      <c r="G415" t="s">
        <v>54</v>
      </c>
      <c r="H415">
        <v>344073</v>
      </c>
      <c r="I415">
        <v>12</v>
      </c>
    </row>
    <row r="416" spans="1:9">
      <c r="A416" t="s">
        <v>1148</v>
      </c>
      <c r="B416" t="s">
        <v>1149</v>
      </c>
      <c r="C416" t="s">
        <v>47</v>
      </c>
      <c r="D416" t="s">
        <v>22</v>
      </c>
      <c r="E416" t="s">
        <v>30</v>
      </c>
      <c r="F416" t="s">
        <v>377</v>
      </c>
      <c r="G416" t="s">
        <v>75</v>
      </c>
      <c r="H416">
        <v>0</v>
      </c>
      <c r="I416">
        <v>5</v>
      </c>
    </row>
    <row r="417" spans="1:9">
      <c r="A417" t="s">
        <v>1150</v>
      </c>
      <c r="B417" t="s">
        <v>1151</v>
      </c>
      <c r="C417" t="s">
        <v>21</v>
      </c>
      <c r="D417" t="s">
        <v>58</v>
      </c>
      <c r="E417" t="s">
        <v>23</v>
      </c>
      <c r="F417" t="s">
        <v>1152</v>
      </c>
      <c r="G417" t="s">
        <v>75</v>
      </c>
      <c r="H417">
        <v>0</v>
      </c>
      <c r="I417">
        <v>24</v>
      </c>
    </row>
    <row r="418" spans="1:9">
      <c r="A418" t="s">
        <v>1153</v>
      </c>
      <c r="B418" t="s">
        <v>1154</v>
      </c>
      <c r="C418" t="s">
        <v>29</v>
      </c>
      <c r="D418" t="s">
        <v>36</v>
      </c>
      <c r="E418" t="s">
        <v>23</v>
      </c>
      <c r="F418" t="s">
        <v>70</v>
      </c>
      <c r="G418" t="s">
        <v>75</v>
      </c>
      <c r="H418">
        <v>0</v>
      </c>
      <c r="I418">
        <v>1</v>
      </c>
    </row>
    <row r="419" spans="1:9">
      <c r="A419" t="s">
        <v>1155</v>
      </c>
      <c r="B419" t="s">
        <v>1156</v>
      </c>
      <c r="C419" t="s">
        <v>63</v>
      </c>
      <c r="D419" t="s">
        <v>36</v>
      </c>
      <c r="E419" t="s">
        <v>15</v>
      </c>
      <c r="F419" t="s">
        <v>1157</v>
      </c>
      <c r="G419" t="s">
        <v>49</v>
      </c>
      <c r="H419">
        <v>0</v>
      </c>
      <c r="I419">
        <v>18</v>
      </c>
    </row>
    <row r="420" spans="1:9">
      <c r="A420" t="s">
        <v>1158</v>
      </c>
      <c r="B420" t="s">
        <v>1159</v>
      </c>
      <c r="C420" t="s">
        <v>29</v>
      </c>
      <c r="D420" t="s">
        <v>14</v>
      </c>
      <c r="E420" t="s">
        <v>30</v>
      </c>
      <c r="F420" t="s">
        <v>992</v>
      </c>
      <c r="G420" t="s">
        <v>38</v>
      </c>
      <c r="H420">
        <v>0</v>
      </c>
      <c r="I420">
        <v>30</v>
      </c>
    </row>
    <row r="421" spans="1:9">
      <c r="A421" t="s">
        <v>1160</v>
      </c>
      <c r="B421" t="s">
        <v>1161</v>
      </c>
      <c r="C421" t="s">
        <v>35</v>
      </c>
      <c r="D421" t="s">
        <v>14</v>
      </c>
      <c r="E421" t="s">
        <v>30</v>
      </c>
      <c r="F421" t="s">
        <v>749</v>
      </c>
      <c r="G421" t="s">
        <v>54</v>
      </c>
      <c r="H421">
        <v>293931</v>
      </c>
      <c r="I421">
        <v>14</v>
      </c>
    </row>
    <row r="422" spans="1:9">
      <c r="A422" t="s">
        <v>1162</v>
      </c>
      <c r="B422" t="s">
        <v>1163</v>
      </c>
      <c r="C422" t="s">
        <v>47</v>
      </c>
      <c r="D422" t="s">
        <v>36</v>
      </c>
      <c r="E422" t="s">
        <v>42</v>
      </c>
      <c r="F422" t="s">
        <v>1164</v>
      </c>
      <c r="G422" t="s">
        <v>38</v>
      </c>
      <c r="H422">
        <v>0</v>
      </c>
      <c r="I422">
        <v>14</v>
      </c>
    </row>
    <row r="423" spans="1:9">
      <c r="A423" t="s">
        <v>1165</v>
      </c>
      <c r="B423" t="s">
        <v>1166</v>
      </c>
      <c r="C423" t="s">
        <v>47</v>
      </c>
      <c r="D423" t="s">
        <v>58</v>
      </c>
      <c r="E423" t="s">
        <v>73</v>
      </c>
      <c r="F423" t="s">
        <v>176</v>
      </c>
      <c r="G423" t="s">
        <v>17</v>
      </c>
      <c r="H423">
        <v>0</v>
      </c>
      <c r="I423">
        <v>11</v>
      </c>
    </row>
    <row r="424" spans="1:9">
      <c r="A424" t="s">
        <v>1167</v>
      </c>
      <c r="B424" t="s">
        <v>1168</v>
      </c>
      <c r="C424" t="s">
        <v>63</v>
      </c>
      <c r="D424" t="s">
        <v>58</v>
      </c>
      <c r="E424" t="s">
        <v>30</v>
      </c>
      <c r="F424" t="s">
        <v>1169</v>
      </c>
      <c r="G424" t="s">
        <v>75</v>
      </c>
      <c r="H424">
        <v>0</v>
      </c>
      <c r="I424">
        <v>27</v>
      </c>
    </row>
    <row r="425" spans="1:9">
      <c r="A425" t="s">
        <v>1170</v>
      </c>
      <c r="B425" t="s">
        <v>1171</v>
      </c>
      <c r="C425" t="s">
        <v>21</v>
      </c>
      <c r="D425" t="s">
        <v>22</v>
      </c>
      <c r="E425" t="s">
        <v>23</v>
      </c>
      <c r="F425" t="s">
        <v>427</v>
      </c>
      <c r="G425" t="s">
        <v>17</v>
      </c>
      <c r="H425">
        <v>0</v>
      </c>
      <c r="I425">
        <v>30</v>
      </c>
    </row>
    <row r="426" spans="1:9">
      <c r="A426" t="s">
        <v>1172</v>
      </c>
      <c r="B426" t="s">
        <v>1173</v>
      </c>
      <c r="C426" t="s">
        <v>29</v>
      </c>
      <c r="D426" t="s">
        <v>14</v>
      </c>
      <c r="E426" t="s">
        <v>23</v>
      </c>
      <c r="F426" t="s">
        <v>1174</v>
      </c>
      <c r="G426" t="s">
        <v>75</v>
      </c>
      <c r="H426">
        <v>0</v>
      </c>
      <c r="I426">
        <v>24</v>
      </c>
    </row>
    <row r="427" spans="1:9">
      <c r="A427" t="s">
        <v>1175</v>
      </c>
      <c r="B427" t="s">
        <v>1176</v>
      </c>
      <c r="C427" t="s">
        <v>13</v>
      </c>
      <c r="D427" t="s">
        <v>22</v>
      </c>
      <c r="E427" t="s">
        <v>73</v>
      </c>
      <c r="F427" t="s">
        <v>1177</v>
      </c>
      <c r="G427" t="s">
        <v>49</v>
      </c>
      <c r="H427">
        <v>0</v>
      </c>
      <c r="I427">
        <v>17</v>
      </c>
    </row>
    <row r="428" spans="1:9">
      <c r="A428" t="s">
        <v>1178</v>
      </c>
      <c r="B428" t="s">
        <v>1179</v>
      </c>
      <c r="C428" t="s">
        <v>29</v>
      </c>
      <c r="D428" t="s">
        <v>78</v>
      </c>
      <c r="E428" t="s">
        <v>73</v>
      </c>
      <c r="F428" t="s">
        <v>147</v>
      </c>
      <c r="G428" t="s">
        <v>75</v>
      </c>
      <c r="H428">
        <v>0</v>
      </c>
      <c r="I428">
        <v>21</v>
      </c>
    </row>
    <row r="429" spans="1:9">
      <c r="A429" t="s">
        <v>1180</v>
      </c>
      <c r="B429" t="s">
        <v>1181</v>
      </c>
      <c r="C429" t="s">
        <v>63</v>
      </c>
      <c r="D429" t="s">
        <v>36</v>
      </c>
      <c r="E429" t="s">
        <v>23</v>
      </c>
      <c r="F429" t="s">
        <v>334</v>
      </c>
      <c r="G429" t="s">
        <v>49</v>
      </c>
      <c r="H429">
        <v>0</v>
      </c>
      <c r="I429">
        <v>6</v>
      </c>
    </row>
    <row r="430" spans="1:9">
      <c r="A430" t="s">
        <v>1182</v>
      </c>
      <c r="B430" t="s">
        <v>1183</v>
      </c>
      <c r="C430" t="s">
        <v>63</v>
      </c>
      <c r="D430" t="s">
        <v>78</v>
      </c>
      <c r="E430" t="s">
        <v>42</v>
      </c>
      <c r="F430" t="s">
        <v>1184</v>
      </c>
      <c r="G430" t="s">
        <v>49</v>
      </c>
      <c r="H430">
        <v>0</v>
      </c>
      <c r="I430">
        <v>29</v>
      </c>
    </row>
    <row r="431" spans="1:9">
      <c r="A431" t="s">
        <v>1185</v>
      </c>
      <c r="B431" t="s">
        <v>1186</v>
      </c>
      <c r="C431" t="s">
        <v>21</v>
      </c>
      <c r="D431" t="s">
        <v>78</v>
      </c>
      <c r="E431" t="s">
        <v>42</v>
      </c>
      <c r="F431" t="s">
        <v>1091</v>
      </c>
      <c r="G431" t="s">
        <v>25</v>
      </c>
      <c r="H431">
        <v>0</v>
      </c>
      <c r="I431">
        <v>30</v>
      </c>
    </row>
    <row r="432" spans="1:9">
      <c r="A432" t="s">
        <v>1187</v>
      </c>
      <c r="B432" t="s">
        <v>1188</v>
      </c>
      <c r="C432" t="s">
        <v>35</v>
      </c>
      <c r="D432" t="s">
        <v>36</v>
      </c>
      <c r="E432" t="s">
        <v>23</v>
      </c>
      <c r="F432" t="s">
        <v>1189</v>
      </c>
      <c r="G432" t="s">
        <v>54</v>
      </c>
      <c r="H432">
        <v>228379</v>
      </c>
      <c r="I432">
        <v>27</v>
      </c>
    </row>
    <row r="433" spans="1:9">
      <c r="A433" t="s">
        <v>1190</v>
      </c>
      <c r="B433" t="s">
        <v>1191</v>
      </c>
      <c r="C433" t="s">
        <v>29</v>
      </c>
      <c r="D433" t="s">
        <v>14</v>
      </c>
      <c r="E433" t="s">
        <v>30</v>
      </c>
      <c r="F433" t="s">
        <v>249</v>
      </c>
      <c r="G433" t="s">
        <v>25</v>
      </c>
      <c r="H433">
        <v>0</v>
      </c>
      <c r="I433">
        <v>27</v>
      </c>
    </row>
    <row r="434" spans="1:9">
      <c r="A434" t="s">
        <v>1192</v>
      </c>
      <c r="B434" t="s">
        <v>1193</v>
      </c>
      <c r="C434" t="s">
        <v>63</v>
      </c>
      <c r="D434" t="s">
        <v>58</v>
      </c>
      <c r="E434" t="s">
        <v>73</v>
      </c>
      <c r="F434" t="s">
        <v>1194</v>
      </c>
      <c r="G434" t="s">
        <v>25</v>
      </c>
      <c r="H434">
        <v>0</v>
      </c>
      <c r="I434">
        <v>19</v>
      </c>
    </row>
    <row r="435" spans="1:9">
      <c r="A435" t="s">
        <v>1195</v>
      </c>
      <c r="B435" t="s">
        <v>1196</v>
      </c>
      <c r="C435" t="s">
        <v>47</v>
      </c>
      <c r="D435" t="s">
        <v>78</v>
      </c>
      <c r="E435" t="s">
        <v>23</v>
      </c>
      <c r="F435" t="s">
        <v>308</v>
      </c>
      <c r="G435" t="s">
        <v>38</v>
      </c>
      <c r="H435">
        <v>0</v>
      </c>
      <c r="I435">
        <v>2</v>
      </c>
    </row>
    <row r="436" spans="1:9">
      <c r="A436" t="s">
        <v>1197</v>
      </c>
      <c r="B436" t="s">
        <v>1198</v>
      </c>
      <c r="C436" t="s">
        <v>29</v>
      </c>
      <c r="D436" t="s">
        <v>14</v>
      </c>
      <c r="E436" t="s">
        <v>73</v>
      </c>
      <c r="F436" t="s">
        <v>421</v>
      </c>
      <c r="G436" t="s">
        <v>75</v>
      </c>
      <c r="H436">
        <v>0</v>
      </c>
      <c r="I436">
        <v>29</v>
      </c>
    </row>
    <row r="437" spans="1:9">
      <c r="A437" t="s">
        <v>1199</v>
      </c>
      <c r="B437" t="s">
        <v>1200</v>
      </c>
      <c r="C437" t="s">
        <v>35</v>
      </c>
      <c r="D437" t="s">
        <v>36</v>
      </c>
      <c r="E437" t="s">
        <v>15</v>
      </c>
      <c r="F437" t="s">
        <v>873</v>
      </c>
      <c r="G437" t="s">
        <v>17</v>
      </c>
      <c r="H437">
        <v>0</v>
      </c>
      <c r="I437">
        <v>4</v>
      </c>
    </row>
    <row r="438" spans="1:9">
      <c r="A438" t="s">
        <v>1201</v>
      </c>
      <c r="B438" t="s">
        <v>1202</v>
      </c>
      <c r="C438" t="s">
        <v>47</v>
      </c>
      <c r="D438" t="s">
        <v>58</v>
      </c>
      <c r="E438" t="s">
        <v>30</v>
      </c>
      <c r="F438" t="s">
        <v>1112</v>
      </c>
      <c r="G438" t="s">
        <v>25</v>
      </c>
      <c r="H438">
        <v>0</v>
      </c>
      <c r="I438">
        <v>10</v>
      </c>
    </row>
    <row r="439" spans="1:9">
      <c r="A439" t="s">
        <v>1203</v>
      </c>
      <c r="B439" t="s">
        <v>1204</v>
      </c>
      <c r="C439" t="s">
        <v>21</v>
      </c>
      <c r="D439" t="s">
        <v>22</v>
      </c>
      <c r="E439" t="s">
        <v>30</v>
      </c>
      <c r="F439" t="s">
        <v>1144</v>
      </c>
      <c r="G439" t="s">
        <v>75</v>
      </c>
      <c r="H439">
        <v>0</v>
      </c>
      <c r="I439">
        <v>10</v>
      </c>
    </row>
    <row r="440" spans="1:9">
      <c r="A440" t="s">
        <v>1205</v>
      </c>
      <c r="B440" t="s">
        <v>1206</v>
      </c>
      <c r="C440" t="s">
        <v>47</v>
      </c>
      <c r="D440" t="s">
        <v>36</v>
      </c>
      <c r="E440" t="s">
        <v>73</v>
      </c>
      <c r="F440" t="s">
        <v>414</v>
      </c>
      <c r="G440" t="s">
        <v>38</v>
      </c>
      <c r="H440">
        <v>0</v>
      </c>
      <c r="I440">
        <v>11</v>
      </c>
    </row>
    <row r="441" spans="1:9">
      <c r="A441" t="s">
        <v>1207</v>
      </c>
      <c r="B441" t="s">
        <v>1208</v>
      </c>
      <c r="C441" t="s">
        <v>35</v>
      </c>
      <c r="D441" t="s">
        <v>22</v>
      </c>
      <c r="E441" t="s">
        <v>15</v>
      </c>
      <c r="F441" t="s">
        <v>1209</v>
      </c>
      <c r="G441" t="s">
        <v>17</v>
      </c>
      <c r="H441">
        <v>0</v>
      </c>
      <c r="I441">
        <v>16</v>
      </c>
    </row>
    <row r="442" spans="1:9">
      <c r="A442" t="s">
        <v>1210</v>
      </c>
      <c r="B442" t="s">
        <v>1211</v>
      </c>
      <c r="C442" t="s">
        <v>13</v>
      </c>
      <c r="D442" t="s">
        <v>36</v>
      </c>
      <c r="E442" t="s">
        <v>15</v>
      </c>
      <c r="F442" t="s">
        <v>905</v>
      </c>
      <c r="G442" t="s">
        <v>38</v>
      </c>
      <c r="H442">
        <v>0</v>
      </c>
      <c r="I442">
        <v>18</v>
      </c>
    </row>
    <row r="443" spans="1:9">
      <c r="A443" t="s">
        <v>1212</v>
      </c>
      <c r="B443" t="s">
        <v>1213</v>
      </c>
      <c r="C443" t="s">
        <v>13</v>
      </c>
      <c r="D443" t="s">
        <v>78</v>
      </c>
      <c r="E443" t="s">
        <v>30</v>
      </c>
      <c r="F443" t="s">
        <v>37</v>
      </c>
      <c r="G443" t="s">
        <v>49</v>
      </c>
      <c r="H443">
        <v>0</v>
      </c>
      <c r="I443">
        <v>26</v>
      </c>
    </row>
    <row r="444" spans="1:9">
      <c r="A444" t="s">
        <v>1214</v>
      </c>
      <c r="B444" t="s">
        <v>1215</v>
      </c>
      <c r="C444" t="s">
        <v>29</v>
      </c>
      <c r="D444" t="s">
        <v>36</v>
      </c>
      <c r="E444" t="s">
        <v>73</v>
      </c>
      <c r="F444" t="s">
        <v>1216</v>
      </c>
      <c r="G444" t="s">
        <v>75</v>
      </c>
      <c r="H444">
        <v>0</v>
      </c>
      <c r="I444">
        <v>30</v>
      </c>
    </row>
    <row r="445" spans="1:9">
      <c r="A445" t="s">
        <v>1217</v>
      </c>
      <c r="B445" t="s">
        <v>1218</v>
      </c>
      <c r="C445" t="s">
        <v>29</v>
      </c>
      <c r="D445" t="s">
        <v>22</v>
      </c>
      <c r="E445" t="s">
        <v>15</v>
      </c>
      <c r="F445" t="s">
        <v>1219</v>
      </c>
      <c r="G445" t="s">
        <v>38</v>
      </c>
      <c r="H445">
        <v>0</v>
      </c>
      <c r="I445">
        <v>19</v>
      </c>
    </row>
    <row r="446" spans="1:9">
      <c r="A446" t="s">
        <v>1220</v>
      </c>
      <c r="B446" t="s">
        <v>1221</v>
      </c>
      <c r="C446" t="s">
        <v>47</v>
      </c>
      <c r="D446" t="s">
        <v>58</v>
      </c>
      <c r="E446" t="s">
        <v>73</v>
      </c>
      <c r="F446" t="s">
        <v>188</v>
      </c>
      <c r="G446" t="s">
        <v>75</v>
      </c>
      <c r="H446">
        <v>0</v>
      </c>
      <c r="I446">
        <v>8</v>
      </c>
    </row>
    <row r="447" spans="1:9">
      <c r="A447" t="s">
        <v>1222</v>
      </c>
      <c r="B447" t="s">
        <v>1223</v>
      </c>
      <c r="C447" t="s">
        <v>21</v>
      </c>
      <c r="D447" t="s">
        <v>22</v>
      </c>
      <c r="E447" t="s">
        <v>42</v>
      </c>
      <c r="F447" t="s">
        <v>1224</v>
      </c>
      <c r="G447" t="s">
        <v>38</v>
      </c>
      <c r="H447">
        <v>0</v>
      </c>
      <c r="I447">
        <v>13</v>
      </c>
    </row>
    <row r="448" spans="1:9">
      <c r="A448" t="s">
        <v>1225</v>
      </c>
      <c r="B448" t="s">
        <v>1226</v>
      </c>
      <c r="C448" t="s">
        <v>63</v>
      </c>
      <c r="D448" t="s">
        <v>36</v>
      </c>
      <c r="E448" t="s">
        <v>15</v>
      </c>
      <c r="F448" t="s">
        <v>197</v>
      </c>
      <c r="G448" t="s">
        <v>75</v>
      </c>
      <c r="H448">
        <v>0</v>
      </c>
      <c r="I448">
        <v>4</v>
      </c>
    </row>
    <row r="449" spans="1:9">
      <c r="A449" t="s">
        <v>1227</v>
      </c>
      <c r="B449" t="s">
        <v>1228</v>
      </c>
      <c r="C449" t="s">
        <v>63</v>
      </c>
      <c r="D449" t="s">
        <v>22</v>
      </c>
      <c r="E449" t="s">
        <v>23</v>
      </c>
      <c r="F449" t="s">
        <v>665</v>
      </c>
      <c r="G449" t="s">
        <v>25</v>
      </c>
      <c r="H449">
        <v>0</v>
      </c>
      <c r="I449">
        <v>26</v>
      </c>
    </row>
    <row r="450" spans="1:9">
      <c r="A450" t="s">
        <v>1229</v>
      </c>
      <c r="B450" t="s">
        <v>1230</v>
      </c>
      <c r="C450" t="s">
        <v>13</v>
      </c>
      <c r="D450" t="s">
        <v>78</v>
      </c>
      <c r="E450" t="s">
        <v>73</v>
      </c>
      <c r="F450" t="s">
        <v>1231</v>
      </c>
      <c r="G450" t="s">
        <v>38</v>
      </c>
      <c r="H450">
        <v>0</v>
      </c>
      <c r="I450">
        <v>22</v>
      </c>
    </row>
    <row r="451" spans="1:9">
      <c r="A451" t="s">
        <v>1232</v>
      </c>
      <c r="B451" t="s">
        <v>1233</v>
      </c>
      <c r="C451" t="s">
        <v>29</v>
      </c>
      <c r="D451" t="s">
        <v>22</v>
      </c>
      <c r="E451" t="s">
        <v>42</v>
      </c>
      <c r="F451" t="s">
        <v>322</v>
      </c>
      <c r="G451" t="s">
        <v>17</v>
      </c>
      <c r="H451">
        <v>0</v>
      </c>
      <c r="I451">
        <v>26</v>
      </c>
    </row>
    <row r="452" spans="1:9">
      <c r="A452" t="s">
        <v>1234</v>
      </c>
      <c r="B452" t="s">
        <v>1235</v>
      </c>
      <c r="C452" t="s">
        <v>13</v>
      </c>
      <c r="D452" t="s">
        <v>58</v>
      </c>
      <c r="E452" t="s">
        <v>30</v>
      </c>
      <c r="F452" t="s">
        <v>1236</v>
      </c>
      <c r="G452" t="s">
        <v>54</v>
      </c>
      <c r="H452">
        <v>141988</v>
      </c>
      <c r="I452">
        <v>25</v>
      </c>
    </row>
    <row r="453" spans="1:9">
      <c r="A453" t="s">
        <v>1237</v>
      </c>
      <c r="B453" t="s">
        <v>1238</v>
      </c>
      <c r="C453" t="s">
        <v>29</v>
      </c>
      <c r="D453" t="s">
        <v>14</v>
      </c>
      <c r="E453" t="s">
        <v>15</v>
      </c>
      <c r="F453" t="s">
        <v>716</v>
      </c>
      <c r="G453" t="s">
        <v>75</v>
      </c>
      <c r="H453">
        <v>0</v>
      </c>
      <c r="I453">
        <v>4</v>
      </c>
    </row>
    <row r="454" spans="1:9">
      <c r="A454" t="s">
        <v>1239</v>
      </c>
      <c r="B454" t="s">
        <v>1240</v>
      </c>
      <c r="C454" t="s">
        <v>63</v>
      </c>
      <c r="D454" t="s">
        <v>58</v>
      </c>
      <c r="E454" t="s">
        <v>73</v>
      </c>
      <c r="F454" t="s">
        <v>543</v>
      </c>
      <c r="G454" t="s">
        <v>38</v>
      </c>
      <c r="H454">
        <v>0</v>
      </c>
      <c r="I454">
        <v>3</v>
      </c>
    </row>
    <row r="455" spans="1:9">
      <c r="A455" t="s">
        <v>1241</v>
      </c>
      <c r="B455" t="s">
        <v>1242</v>
      </c>
      <c r="C455" t="s">
        <v>13</v>
      </c>
      <c r="D455" t="s">
        <v>36</v>
      </c>
      <c r="E455" t="s">
        <v>42</v>
      </c>
      <c r="F455" t="s">
        <v>543</v>
      </c>
      <c r="G455" t="s">
        <v>49</v>
      </c>
      <c r="H455">
        <v>0</v>
      </c>
      <c r="I455">
        <v>15</v>
      </c>
    </row>
    <row r="456" spans="1:9">
      <c r="A456" t="s">
        <v>1243</v>
      </c>
      <c r="B456" t="s">
        <v>1244</v>
      </c>
      <c r="C456" t="s">
        <v>13</v>
      </c>
      <c r="D456" t="s">
        <v>22</v>
      </c>
      <c r="E456" t="s">
        <v>15</v>
      </c>
      <c r="F456" t="s">
        <v>74</v>
      </c>
      <c r="G456" t="s">
        <v>25</v>
      </c>
      <c r="H456">
        <v>0</v>
      </c>
      <c r="I456">
        <v>24</v>
      </c>
    </row>
    <row r="457" spans="1:9">
      <c r="A457" t="s">
        <v>1245</v>
      </c>
      <c r="B457" t="s">
        <v>1246</v>
      </c>
      <c r="C457" t="s">
        <v>29</v>
      </c>
      <c r="D457" t="s">
        <v>14</v>
      </c>
      <c r="E457" t="s">
        <v>15</v>
      </c>
      <c r="F457" t="s">
        <v>494</v>
      </c>
      <c r="G457" t="s">
        <v>25</v>
      </c>
      <c r="H457">
        <v>0</v>
      </c>
      <c r="I457">
        <v>27</v>
      </c>
    </row>
    <row r="458" spans="1:9">
      <c r="A458" t="s">
        <v>1247</v>
      </c>
      <c r="B458" t="s">
        <v>1248</v>
      </c>
      <c r="C458" t="s">
        <v>47</v>
      </c>
      <c r="D458" t="s">
        <v>14</v>
      </c>
      <c r="E458" t="s">
        <v>73</v>
      </c>
      <c r="F458" t="s">
        <v>1249</v>
      </c>
      <c r="G458" t="s">
        <v>25</v>
      </c>
      <c r="H458">
        <v>0</v>
      </c>
      <c r="I458">
        <v>12</v>
      </c>
    </row>
    <row r="459" spans="1:9">
      <c r="A459" t="s">
        <v>1250</v>
      </c>
      <c r="B459" t="s">
        <v>1251</v>
      </c>
      <c r="C459" t="s">
        <v>21</v>
      </c>
      <c r="D459" t="s">
        <v>14</v>
      </c>
      <c r="E459" t="s">
        <v>73</v>
      </c>
      <c r="F459" t="s">
        <v>301</v>
      </c>
      <c r="G459" t="s">
        <v>54</v>
      </c>
      <c r="H459">
        <v>157272</v>
      </c>
      <c r="I459">
        <v>24</v>
      </c>
    </row>
    <row r="460" spans="1:9">
      <c r="A460" t="s">
        <v>1252</v>
      </c>
      <c r="B460" t="s">
        <v>1253</v>
      </c>
      <c r="C460" t="s">
        <v>35</v>
      </c>
      <c r="D460" t="s">
        <v>14</v>
      </c>
      <c r="E460" t="s">
        <v>15</v>
      </c>
      <c r="F460" t="s">
        <v>665</v>
      </c>
      <c r="G460" t="s">
        <v>25</v>
      </c>
      <c r="H460">
        <v>0</v>
      </c>
      <c r="I460">
        <v>13</v>
      </c>
    </row>
    <row r="461" spans="1:9">
      <c r="A461" t="s">
        <v>1254</v>
      </c>
      <c r="B461" t="s">
        <v>1255</v>
      </c>
      <c r="C461" t="s">
        <v>13</v>
      </c>
      <c r="D461" t="s">
        <v>14</v>
      </c>
      <c r="E461" t="s">
        <v>42</v>
      </c>
      <c r="F461" t="s">
        <v>1256</v>
      </c>
      <c r="G461" t="s">
        <v>49</v>
      </c>
      <c r="H461">
        <v>0</v>
      </c>
      <c r="I461">
        <v>16</v>
      </c>
    </row>
    <row r="462" spans="1:9">
      <c r="A462" t="s">
        <v>1257</v>
      </c>
      <c r="B462" t="s">
        <v>1258</v>
      </c>
      <c r="C462" t="s">
        <v>29</v>
      </c>
      <c r="D462" t="s">
        <v>58</v>
      </c>
      <c r="E462" t="s">
        <v>30</v>
      </c>
      <c r="F462" t="s">
        <v>1259</v>
      </c>
      <c r="G462" t="s">
        <v>17</v>
      </c>
      <c r="H462">
        <v>0</v>
      </c>
      <c r="I462">
        <v>17</v>
      </c>
    </row>
    <row r="463" spans="1:9">
      <c r="A463" t="s">
        <v>1260</v>
      </c>
      <c r="B463" t="s">
        <v>1261</v>
      </c>
      <c r="C463" t="s">
        <v>21</v>
      </c>
      <c r="D463" t="s">
        <v>22</v>
      </c>
      <c r="E463" t="s">
        <v>42</v>
      </c>
      <c r="F463" t="s">
        <v>117</v>
      </c>
      <c r="G463" t="s">
        <v>49</v>
      </c>
      <c r="H463">
        <v>0</v>
      </c>
      <c r="I463">
        <v>21</v>
      </c>
    </row>
    <row r="464" spans="1:9">
      <c r="A464" t="s">
        <v>1262</v>
      </c>
      <c r="B464" t="s">
        <v>1263</v>
      </c>
      <c r="C464" t="s">
        <v>47</v>
      </c>
      <c r="D464" t="s">
        <v>14</v>
      </c>
      <c r="E464" t="s">
        <v>73</v>
      </c>
      <c r="F464" t="s">
        <v>1174</v>
      </c>
      <c r="G464" t="s">
        <v>75</v>
      </c>
      <c r="H464">
        <v>0</v>
      </c>
      <c r="I464">
        <v>9</v>
      </c>
    </row>
    <row r="465" spans="1:9">
      <c r="A465" t="s">
        <v>1264</v>
      </c>
      <c r="B465" t="s">
        <v>1265</v>
      </c>
      <c r="C465" t="s">
        <v>29</v>
      </c>
      <c r="D465" t="s">
        <v>36</v>
      </c>
      <c r="E465" t="s">
        <v>23</v>
      </c>
      <c r="F465" t="s">
        <v>1266</v>
      </c>
      <c r="G465" t="s">
        <v>49</v>
      </c>
      <c r="H465">
        <v>0</v>
      </c>
      <c r="I465">
        <v>2</v>
      </c>
    </row>
    <row r="466" spans="1:9">
      <c r="A466" t="s">
        <v>1267</v>
      </c>
      <c r="B466" t="s">
        <v>1268</v>
      </c>
      <c r="C466" t="s">
        <v>21</v>
      </c>
      <c r="D466" t="s">
        <v>36</v>
      </c>
      <c r="E466" t="s">
        <v>30</v>
      </c>
      <c r="F466" t="s">
        <v>1123</v>
      </c>
      <c r="G466" t="s">
        <v>49</v>
      </c>
      <c r="H466">
        <v>0</v>
      </c>
      <c r="I466">
        <v>7</v>
      </c>
    </row>
    <row r="467" spans="1:9">
      <c r="A467" t="s">
        <v>1269</v>
      </c>
      <c r="B467" t="s">
        <v>1270</v>
      </c>
      <c r="C467" t="s">
        <v>35</v>
      </c>
      <c r="D467" t="s">
        <v>36</v>
      </c>
      <c r="E467" t="s">
        <v>15</v>
      </c>
      <c r="F467" t="s">
        <v>1271</v>
      </c>
      <c r="G467" t="s">
        <v>49</v>
      </c>
      <c r="H467">
        <v>0</v>
      </c>
      <c r="I467">
        <v>17</v>
      </c>
    </row>
    <row r="468" spans="1:9">
      <c r="A468" t="s">
        <v>1272</v>
      </c>
      <c r="B468" t="s">
        <v>1273</v>
      </c>
      <c r="C468" t="s">
        <v>29</v>
      </c>
      <c r="D468" t="s">
        <v>36</v>
      </c>
      <c r="E468" t="s">
        <v>73</v>
      </c>
      <c r="F468" t="s">
        <v>527</v>
      </c>
      <c r="G468" t="s">
        <v>75</v>
      </c>
      <c r="H468">
        <v>0</v>
      </c>
      <c r="I468">
        <v>5</v>
      </c>
    </row>
    <row r="469" spans="1:9">
      <c r="A469" t="s">
        <v>1274</v>
      </c>
      <c r="B469" t="s">
        <v>1275</v>
      </c>
      <c r="C469" t="s">
        <v>47</v>
      </c>
      <c r="D469" t="s">
        <v>14</v>
      </c>
      <c r="E469" t="s">
        <v>15</v>
      </c>
      <c r="F469" t="s">
        <v>215</v>
      </c>
      <c r="G469" t="s">
        <v>38</v>
      </c>
      <c r="H469">
        <v>0</v>
      </c>
      <c r="I469">
        <v>21</v>
      </c>
    </row>
    <row r="470" spans="1:9">
      <c r="A470" t="s">
        <v>1276</v>
      </c>
      <c r="B470" t="s">
        <v>1277</v>
      </c>
      <c r="C470" t="s">
        <v>13</v>
      </c>
      <c r="D470" t="s">
        <v>22</v>
      </c>
      <c r="E470" t="s">
        <v>73</v>
      </c>
      <c r="F470" t="s">
        <v>1278</v>
      </c>
      <c r="G470" t="s">
        <v>38</v>
      </c>
      <c r="H470">
        <v>0</v>
      </c>
      <c r="I470">
        <v>20</v>
      </c>
    </row>
    <row r="471" spans="1:9">
      <c r="A471" t="s">
        <v>1279</v>
      </c>
      <c r="B471" t="s">
        <v>1280</v>
      </c>
      <c r="C471" t="s">
        <v>13</v>
      </c>
      <c r="D471" t="s">
        <v>78</v>
      </c>
      <c r="E471" t="s">
        <v>42</v>
      </c>
      <c r="F471" t="s">
        <v>891</v>
      </c>
      <c r="G471" t="s">
        <v>25</v>
      </c>
      <c r="H471">
        <v>0</v>
      </c>
      <c r="I471">
        <v>5</v>
      </c>
    </row>
    <row r="472" spans="1:9">
      <c r="A472" t="s">
        <v>1281</v>
      </c>
      <c r="B472" t="s">
        <v>1282</v>
      </c>
      <c r="C472" t="s">
        <v>29</v>
      </c>
      <c r="D472" t="s">
        <v>36</v>
      </c>
      <c r="E472" t="s">
        <v>15</v>
      </c>
      <c r="F472" t="s">
        <v>837</v>
      </c>
      <c r="G472" t="s">
        <v>17</v>
      </c>
      <c r="H472">
        <v>0</v>
      </c>
      <c r="I472">
        <v>8</v>
      </c>
    </row>
    <row r="473" spans="1:9">
      <c r="A473" t="s">
        <v>1283</v>
      </c>
      <c r="B473" t="s">
        <v>1284</v>
      </c>
      <c r="C473" t="s">
        <v>35</v>
      </c>
      <c r="D473" t="s">
        <v>36</v>
      </c>
      <c r="E473" t="s">
        <v>15</v>
      </c>
      <c r="F473" t="s">
        <v>53</v>
      </c>
      <c r="G473" t="s">
        <v>75</v>
      </c>
      <c r="H473">
        <v>0</v>
      </c>
      <c r="I473">
        <v>4</v>
      </c>
    </row>
    <row r="474" spans="1:9">
      <c r="A474" t="s">
        <v>1285</v>
      </c>
      <c r="B474" t="s">
        <v>1286</v>
      </c>
      <c r="C474" t="s">
        <v>21</v>
      </c>
      <c r="D474" t="s">
        <v>22</v>
      </c>
      <c r="E474" t="s">
        <v>23</v>
      </c>
      <c r="F474" t="s">
        <v>331</v>
      </c>
      <c r="G474" t="s">
        <v>25</v>
      </c>
      <c r="H474">
        <v>0</v>
      </c>
      <c r="I474">
        <v>21</v>
      </c>
    </row>
    <row r="475" spans="1:9">
      <c r="A475" t="s">
        <v>1287</v>
      </c>
      <c r="B475" t="s">
        <v>1288</v>
      </c>
      <c r="C475" t="s">
        <v>63</v>
      </c>
      <c r="D475" t="s">
        <v>22</v>
      </c>
      <c r="E475" t="s">
        <v>23</v>
      </c>
      <c r="F475" t="s">
        <v>1011</v>
      </c>
      <c r="G475" t="s">
        <v>75</v>
      </c>
      <c r="H475">
        <v>0</v>
      </c>
      <c r="I475">
        <v>11</v>
      </c>
    </row>
    <row r="476" spans="1:9">
      <c r="A476" t="s">
        <v>1289</v>
      </c>
      <c r="B476" t="s">
        <v>1290</v>
      </c>
      <c r="C476" t="s">
        <v>35</v>
      </c>
      <c r="D476" t="s">
        <v>36</v>
      </c>
      <c r="E476" t="s">
        <v>42</v>
      </c>
      <c r="F476" t="s">
        <v>1291</v>
      </c>
      <c r="G476" t="s">
        <v>49</v>
      </c>
      <c r="H476">
        <v>0</v>
      </c>
      <c r="I476">
        <v>7</v>
      </c>
    </row>
    <row r="477" spans="1:9">
      <c r="A477" t="s">
        <v>1292</v>
      </c>
      <c r="B477" t="s">
        <v>1293</v>
      </c>
      <c r="C477" t="s">
        <v>21</v>
      </c>
      <c r="D477" t="s">
        <v>78</v>
      </c>
      <c r="E477" t="s">
        <v>15</v>
      </c>
      <c r="F477" t="s">
        <v>1294</v>
      </c>
      <c r="G477" t="s">
        <v>54</v>
      </c>
      <c r="H477">
        <v>83898</v>
      </c>
      <c r="I477">
        <v>24</v>
      </c>
    </row>
    <row r="478" spans="1:9">
      <c r="A478" t="s">
        <v>1295</v>
      </c>
      <c r="B478" t="s">
        <v>1296</v>
      </c>
      <c r="C478" t="s">
        <v>47</v>
      </c>
      <c r="D478" t="s">
        <v>58</v>
      </c>
      <c r="E478" t="s">
        <v>73</v>
      </c>
      <c r="F478" t="s">
        <v>559</v>
      </c>
      <c r="G478" t="s">
        <v>38</v>
      </c>
      <c r="H478">
        <v>0</v>
      </c>
      <c r="I478">
        <v>28</v>
      </c>
    </row>
    <row r="479" spans="1:9">
      <c r="A479" t="s">
        <v>1297</v>
      </c>
      <c r="B479" t="s">
        <v>1298</v>
      </c>
      <c r="C479" t="s">
        <v>29</v>
      </c>
      <c r="D479" t="s">
        <v>36</v>
      </c>
      <c r="E479" t="s">
        <v>23</v>
      </c>
      <c r="F479" t="s">
        <v>873</v>
      </c>
      <c r="G479" t="s">
        <v>75</v>
      </c>
      <c r="H479">
        <v>0</v>
      </c>
      <c r="I479">
        <v>21</v>
      </c>
    </row>
    <row r="480" spans="1:9">
      <c r="A480" t="s">
        <v>1299</v>
      </c>
      <c r="B480" t="s">
        <v>1300</v>
      </c>
      <c r="C480" t="s">
        <v>35</v>
      </c>
      <c r="D480" t="s">
        <v>14</v>
      </c>
      <c r="E480" t="s">
        <v>73</v>
      </c>
      <c r="F480" t="s">
        <v>1301</v>
      </c>
      <c r="G480" t="s">
        <v>75</v>
      </c>
      <c r="H480">
        <v>0</v>
      </c>
      <c r="I480">
        <v>7</v>
      </c>
    </row>
    <row r="481" spans="1:9">
      <c r="A481" t="s">
        <v>1302</v>
      </c>
      <c r="B481" t="s">
        <v>1303</v>
      </c>
      <c r="C481" t="s">
        <v>63</v>
      </c>
      <c r="D481" t="s">
        <v>78</v>
      </c>
      <c r="E481" t="s">
        <v>42</v>
      </c>
      <c r="F481" t="s">
        <v>249</v>
      </c>
      <c r="G481" t="s">
        <v>54</v>
      </c>
      <c r="H481">
        <v>213413</v>
      </c>
      <c r="I481">
        <v>21</v>
      </c>
    </row>
    <row r="482" spans="1:9">
      <c r="A482" t="s">
        <v>1304</v>
      </c>
      <c r="B482" t="s">
        <v>1305</v>
      </c>
      <c r="C482" t="s">
        <v>63</v>
      </c>
      <c r="D482" t="s">
        <v>14</v>
      </c>
      <c r="E482" t="s">
        <v>15</v>
      </c>
      <c r="F482" t="s">
        <v>1306</v>
      </c>
      <c r="G482" t="s">
        <v>25</v>
      </c>
      <c r="H482">
        <v>0</v>
      </c>
      <c r="I482">
        <v>13</v>
      </c>
    </row>
    <row r="483" spans="1:9">
      <c r="A483" t="s">
        <v>1307</v>
      </c>
      <c r="B483" t="s">
        <v>1308</v>
      </c>
      <c r="C483" t="s">
        <v>13</v>
      </c>
      <c r="D483" t="s">
        <v>36</v>
      </c>
      <c r="E483" t="s">
        <v>30</v>
      </c>
      <c r="F483" t="s">
        <v>1309</v>
      </c>
      <c r="G483" t="s">
        <v>25</v>
      </c>
      <c r="H483">
        <v>0</v>
      </c>
      <c r="I483">
        <v>7</v>
      </c>
    </row>
    <row r="484" spans="1:9">
      <c r="A484" t="s">
        <v>1310</v>
      </c>
      <c r="B484" t="s">
        <v>1311</v>
      </c>
      <c r="C484" t="s">
        <v>35</v>
      </c>
      <c r="D484" t="s">
        <v>58</v>
      </c>
      <c r="E484" t="s">
        <v>42</v>
      </c>
      <c r="F484" t="s">
        <v>837</v>
      </c>
      <c r="G484" t="s">
        <v>75</v>
      </c>
      <c r="H484">
        <v>0</v>
      </c>
      <c r="I484">
        <v>27</v>
      </c>
    </row>
    <row r="485" spans="1:9">
      <c r="A485" t="s">
        <v>1312</v>
      </c>
      <c r="B485" t="s">
        <v>1313</v>
      </c>
      <c r="C485" t="s">
        <v>47</v>
      </c>
      <c r="D485" t="s">
        <v>22</v>
      </c>
      <c r="E485" t="s">
        <v>15</v>
      </c>
      <c r="F485" t="s">
        <v>1314</v>
      </c>
      <c r="G485" t="s">
        <v>25</v>
      </c>
      <c r="H485">
        <v>0</v>
      </c>
      <c r="I485">
        <v>19</v>
      </c>
    </row>
    <row r="486" spans="1:9">
      <c r="A486" t="s">
        <v>1315</v>
      </c>
      <c r="B486" t="s">
        <v>1316</v>
      </c>
      <c r="C486" t="s">
        <v>29</v>
      </c>
      <c r="D486" t="s">
        <v>22</v>
      </c>
      <c r="E486" t="s">
        <v>30</v>
      </c>
      <c r="F486" t="s">
        <v>1042</v>
      </c>
      <c r="G486" t="s">
        <v>54</v>
      </c>
      <c r="H486">
        <v>212621</v>
      </c>
      <c r="I486">
        <v>11</v>
      </c>
    </row>
    <row r="487" spans="1:9">
      <c r="A487" t="s">
        <v>1317</v>
      </c>
      <c r="B487" t="s">
        <v>1318</v>
      </c>
      <c r="C487" t="s">
        <v>35</v>
      </c>
      <c r="D487" t="s">
        <v>14</v>
      </c>
      <c r="E487" t="s">
        <v>30</v>
      </c>
      <c r="F487" t="s">
        <v>1319</v>
      </c>
      <c r="G487" t="s">
        <v>38</v>
      </c>
      <c r="H487">
        <v>0</v>
      </c>
      <c r="I487">
        <v>21</v>
      </c>
    </row>
    <row r="488" spans="1:9">
      <c r="A488" t="s">
        <v>1320</v>
      </c>
      <c r="B488" t="s">
        <v>1321</v>
      </c>
      <c r="C488" t="s">
        <v>21</v>
      </c>
      <c r="D488" t="s">
        <v>58</v>
      </c>
      <c r="E488" t="s">
        <v>42</v>
      </c>
      <c r="F488" t="s">
        <v>1033</v>
      </c>
      <c r="G488" t="s">
        <v>38</v>
      </c>
      <c r="H488">
        <v>0</v>
      </c>
      <c r="I488">
        <v>7</v>
      </c>
    </row>
    <row r="489" spans="1:9">
      <c r="A489" t="s">
        <v>1322</v>
      </c>
      <c r="B489" t="s">
        <v>1323</v>
      </c>
      <c r="C489" t="s">
        <v>29</v>
      </c>
      <c r="D489" t="s">
        <v>22</v>
      </c>
      <c r="E489" t="s">
        <v>15</v>
      </c>
      <c r="F489" t="s">
        <v>749</v>
      </c>
      <c r="G489" t="s">
        <v>49</v>
      </c>
      <c r="H489">
        <v>0</v>
      </c>
      <c r="I489">
        <v>20</v>
      </c>
    </row>
    <row r="490" spans="1:9">
      <c r="A490" t="s">
        <v>1324</v>
      </c>
      <c r="B490" t="s">
        <v>1325</v>
      </c>
      <c r="C490" t="s">
        <v>13</v>
      </c>
      <c r="D490" t="s">
        <v>78</v>
      </c>
      <c r="E490" t="s">
        <v>23</v>
      </c>
      <c r="F490" t="s">
        <v>1249</v>
      </c>
      <c r="G490" t="s">
        <v>17</v>
      </c>
      <c r="H490">
        <v>0</v>
      </c>
      <c r="I490">
        <v>20</v>
      </c>
    </row>
    <row r="491" spans="1:9">
      <c r="A491" t="s">
        <v>1326</v>
      </c>
      <c r="B491" t="s">
        <v>1327</v>
      </c>
      <c r="C491" t="s">
        <v>47</v>
      </c>
      <c r="D491" t="s">
        <v>78</v>
      </c>
      <c r="E491" t="s">
        <v>30</v>
      </c>
      <c r="F491" t="s">
        <v>565</v>
      </c>
      <c r="G491" t="s">
        <v>75</v>
      </c>
      <c r="H491">
        <v>0</v>
      </c>
      <c r="I491">
        <v>2</v>
      </c>
    </row>
    <row r="492" spans="1:9">
      <c r="A492" t="s">
        <v>1328</v>
      </c>
      <c r="B492" t="s">
        <v>1329</v>
      </c>
      <c r="C492" t="s">
        <v>21</v>
      </c>
      <c r="D492" t="s">
        <v>22</v>
      </c>
      <c r="E492" t="s">
        <v>73</v>
      </c>
      <c r="F492" t="s">
        <v>586</v>
      </c>
      <c r="G492" t="s">
        <v>17</v>
      </c>
      <c r="H492">
        <v>0</v>
      </c>
      <c r="I492">
        <v>23</v>
      </c>
    </row>
    <row r="493" spans="1:9">
      <c r="A493" t="s">
        <v>1330</v>
      </c>
      <c r="B493" t="s">
        <v>1331</v>
      </c>
      <c r="C493" t="s">
        <v>35</v>
      </c>
      <c r="D493" t="s">
        <v>14</v>
      </c>
      <c r="E493" t="s">
        <v>73</v>
      </c>
      <c r="F493" t="s">
        <v>987</v>
      </c>
      <c r="G493" t="s">
        <v>25</v>
      </c>
      <c r="H493">
        <v>0</v>
      </c>
      <c r="I493">
        <v>2</v>
      </c>
    </row>
    <row r="494" spans="1:9">
      <c r="A494" t="s">
        <v>1332</v>
      </c>
      <c r="B494" t="s">
        <v>1333</v>
      </c>
      <c r="C494" t="s">
        <v>47</v>
      </c>
      <c r="D494" t="s">
        <v>36</v>
      </c>
      <c r="E494" t="s">
        <v>15</v>
      </c>
      <c r="F494" t="s">
        <v>1134</v>
      </c>
      <c r="G494" t="s">
        <v>49</v>
      </c>
      <c r="H494">
        <v>0</v>
      </c>
      <c r="I494">
        <v>1</v>
      </c>
    </row>
    <row r="495" spans="1:9">
      <c r="A495" t="s">
        <v>1334</v>
      </c>
      <c r="B495" t="s">
        <v>1335</v>
      </c>
      <c r="C495" t="s">
        <v>21</v>
      </c>
      <c r="D495" t="s">
        <v>14</v>
      </c>
      <c r="E495" t="s">
        <v>42</v>
      </c>
      <c r="F495" t="s">
        <v>1336</v>
      </c>
      <c r="G495" t="s">
        <v>17</v>
      </c>
      <c r="H495">
        <v>0</v>
      </c>
      <c r="I495">
        <v>9</v>
      </c>
    </row>
    <row r="496" spans="1:9">
      <c r="A496" t="s">
        <v>1337</v>
      </c>
      <c r="B496" t="s">
        <v>1338</v>
      </c>
      <c r="C496" t="s">
        <v>21</v>
      </c>
      <c r="D496" t="s">
        <v>14</v>
      </c>
      <c r="E496" t="s">
        <v>15</v>
      </c>
      <c r="F496" t="s">
        <v>1339</v>
      </c>
      <c r="G496" t="s">
        <v>54</v>
      </c>
      <c r="H496">
        <v>245350</v>
      </c>
      <c r="I496">
        <v>10</v>
      </c>
    </row>
    <row r="497" spans="1:9">
      <c r="A497" t="s">
        <v>1340</v>
      </c>
      <c r="B497" t="s">
        <v>1341</v>
      </c>
      <c r="C497" t="s">
        <v>29</v>
      </c>
      <c r="D497" t="s">
        <v>78</v>
      </c>
      <c r="E497" t="s">
        <v>30</v>
      </c>
      <c r="F497" t="s">
        <v>586</v>
      </c>
      <c r="G497" t="s">
        <v>49</v>
      </c>
      <c r="H497">
        <v>0</v>
      </c>
      <c r="I497">
        <v>19</v>
      </c>
    </row>
    <row r="498" spans="1:9">
      <c r="A498" t="s">
        <v>1342</v>
      </c>
      <c r="B498" t="s">
        <v>1343</v>
      </c>
      <c r="C498" t="s">
        <v>63</v>
      </c>
      <c r="D498" t="s">
        <v>78</v>
      </c>
      <c r="E498" t="s">
        <v>30</v>
      </c>
      <c r="F498" t="s">
        <v>1164</v>
      </c>
      <c r="G498" t="s">
        <v>54</v>
      </c>
      <c r="H498">
        <v>217935</v>
      </c>
      <c r="I498">
        <v>29</v>
      </c>
    </row>
    <row r="499" spans="1:9">
      <c r="A499" t="s">
        <v>1344</v>
      </c>
      <c r="B499" t="s">
        <v>1345</v>
      </c>
      <c r="C499" t="s">
        <v>35</v>
      </c>
      <c r="D499" t="s">
        <v>78</v>
      </c>
      <c r="E499" t="s">
        <v>42</v>
      </c>
      <c r="F499" t="s">
        <v>1346</v>
      </c>
      <c r="G499" t="s">
        <v>38</v>
      </c>
      <c r="H499">
        <v>0</v>
      </c>
      <c r="I499">
        <v>27</v>
      </c>
    </row>
    <row r="500" spans="1:9">
      <c r="A500" t="s">
        <v>1347</v>
      </c>
      <c r="B500" t="s">
        <v>1348</v>
      </c>
      <c r="C500" t="s">
        <v>63</v>
      </c>
      <c r="D500" t="s">
        <v>36</v>
      </c>
      <c r="E500" t="s">
        <v>42</v>
      </c>
      <c r="F500" t="s">
        <v>167</v>
      </c>
      <c r="G500" t="s">
        <v>49</v>
      </c>
      <c r="H500">
        <v>0</v>
      </c>
      <c r="I500">
        <v>30</v>
      </c>
    </row>
    <row r="501" spans="1:9">
      <c r="A501" t="s">
        <v>1349</v>
      </c>
      <c r="B501" t="s">
        <v>1350</v>
      </c>
      <c r="C501" t="s">
        <v>63</v>
      </c>
      <c r="D501" t="s">
        <v>14</v>
      </c>
      <c r="E501" t="s">
        <v>23</v>
      </c>
      <c r="F501" t="s">
        <v>358</v>
      </c>
      <c r="G501" t="s">
        <v>75</v>
      </c>
      <c r="H501">
        <v>0</v>
      </c>
      <c r="I501">
        <v>21</v>
      </c>
    </row>
    <row r="502" spans="1:9">
      <c r="A502" t="s">
        <v>1351</v>
      </c>
      <c r="B502" t="s">
        <v>1352</v>
      </c>
      <c r="C502" t="s">
        <v>35</v>
      </c>
      <c r="D502" t="s">
        <v>58</v>
      </c>
      <c r="E502" t="s">
        <v>30</v>
      </c>
      <c r="F502" t="s">
        <v>765</v>
      </c>
      <c r="G502" t="s">
        <v>54</v>
      </c>
      <c r="H502">
        <v>428465</v>
      </c>
      <c r="I502">
        <v>5</v>
      </c>
    </row>
    <row r="503" spans="1:9">
      <c r="A503" t="s">
        <v>1353</v>
      </c>
      <c r="B503" t="s">
        <v>1354</v>
      </c>
      <c r="C503" t="s">
        <v>29</v>
      </c>
      <c r="D503" t="s">
        <v>22</v>
      </c>
      <c r="E503" t="s">
        <v>30</v>
      </c>
      <c r="F503" t="s">
        <v>1355</v>
      </c>
      <c r="G503" t="s">
        <v>49</v>
      </c>
      <c r="H503">
        <v>0</v>
      </c>
      <c r="I503">
        <v>22</v>
      </c>
    </row>
    <row r="504" spans="1:9">
      <c r="A504" t="s">
        <v>1356</v>
      </c>
      <c r="B504" t="s">
        <v>1357</v>
      </c>
      <c r="C504" t="s">
        <v>13</v>
      </c>
      <c r="D504" t="s">
        <v>22</v>
      </c>
      <c r="E504" t="s">
        <v>15</v>
      </c>
      <c r="F504" t="s">
        <v>600</v>
      </c>
      <c r="G504" t="s">
        <v>25</v>
      </c>
      <c r="H504">
        <v>0</v>
      </c>
      <c r="I504">
        <v>3</v>
      </c>
    </row>
    <row r="505" spans="1:9">
      <c r="A505" t="s">
        <v>1358</v>
      </c>
      <c r="B505" t="s">
        <v>1359</v>
      </c>
      <c r="C505" t="s">
        <v>35</v>
      </c>
      <c r="D505" t="s">
        <v>14</v>
      </c>
      <c r="E505" t="s">
        <v>73</v>
      </c>
      <c r="F505" t="s">
        <v>1309</v>
      </c>
      <c r="G505" t="s">
        <v>54</v>
      </c>
      <c r="H505">
        <v>453478</v>
      </c>
      <c r="I505">
        <v>14</v>
      </c>
    </row>
    <row r="506" spans="1:9">
      <c r="A506" t="s">
        <v>1360</v>
      </c>
      <c r="B506" t="s">
        <v>1361</v>
      </c>
      <c r="C506" t="s">
        <v>47</v>
      </c>
      <c r="D506" t="s">
        <v>58</v>
      </c>
      <c r="E506" t="s">
        <v>42</v>
      </c>
      <c r="F506" t="s">
        <v>668</v>
      </c>
      <c r="G506" t="s">
        <v>25</v>
      </c>
      <c r="H506">
        <v>0</v>
      </c>
      <c r="I506">
        <v>10</v>
      </c>
    </row>
    <row r="507" spans="1:9">
      <c r="A507" t="s">
        <v>1362</v>
      </c>
      <c r="B507" t="s">
        <v>1363</v>
      </c>
      <c r="C507" t="s">
        <v>13</v>
      </c>
      <c r="D507" t="s">
        <v>14</v>
      </c>
      <c r="E507" t="s">
        <v>42</v>
      </c>
      <c r="F507" t="s">
        <v>713</v>
      </c>
      <c r="G507" t="s">
        <v>25</v>
      </c>
      <c r="H507">
        <v>0</v>
      </c>
      <c r="I507">
        <v>20</v>
      </c>
    </row>
    <row r="508" spans="1:9">
      <c r="A508" t="s">
        <v>1364</v>
      </c>
      <c r="B508" t="s">
        <v>1365</v>
      </c>
      <c r="C508" t="s">
        <v>35</v>
      </c>
      <c r="D508" t="s">
        <v>14</v>
      </c>
      <c r="E508" t="s">
        <v>73</v>
      </c>
      <c r="F508" t="s">
        <v>295</v>
      </c>
      <c r="G508" t="s">
        <v>75</v>
      </c>
      <c r="H508">
        <v>0</v>
      </c>
      <c r="I508">
        <v>8</v>
      </c>
    </row>
    <row r="509" spans="1:9">
      <c r="A509" t="s">
        <v>1366</v>
      </c>
      <c r="B509" t="s">
        <v>1367</v>
      </c>
      <c r="C509" t="s">
        <v>13</v>
      </c>
      <c r="D509" t="s">
        <v>78</v>
      </c>
      <c r="E509" t="s">
        <v>42</v>
      </c>
      <c r="F509" t="s">
        <v>1368</v>
      </c>
      <c r="G509" t="s">
        <v>25</v>
      </c>
      <c r="H509">
        <v>0</v>
      </c>
      <c r="I509">
        <v>1</v>
      </c>
    </row>
    <row r="510" spans="1:9">
      <c r="A510" t="s">
        <v>1369</v>
      </c>
      <c r="B510" t="s">
        <v>1370</v>
      </c>
      <c r="C510" t="s">
        <v>35</v>
      </c>
      <c r="D510" t="s">
        <v>78</v>
      </c>
      <c r="E510" t="s">
        <v>30</v>
      </c>
      <c r="F510" t="s">
        <v>1371</v>
      </c>
      <c r="G510" t="s">
        <v>38</v>
      </c>
      <c r="H510">
        <v>0</v>
      </c>
      <c r="I510">
        <v>24</v>
      </c>
    </row>
    <row r="511" spans="1:9">
      <c r="A511" t="s">
        <v>1372</v>
      </c>
      <c r="B511" t="s">
        <v>1373</v>
      </c>
      <c r="C511" t="s">
        <v>29</v>
      </c>
      <c r="D511" t="s">
        <v>36</v>
      </c>
      <c r="E511" t="s">
        <v>73</v>
      </c>
      <c r="F511" t="s">
        <v>665</v>
      </c>
      <c r="G511" t="s">
        <v>17</v>
      </c>
      <c r="H511">
        <v>0</v>
      </c>
      <c r="I511">
        <v>10</v>
      </c>
    </row>
    <row r="512" spans="1:9">
      <c r="A512" t="s">
        <v>1374</v>
      </c>
      <c r="B512" t="s">
        <v>1375</v>
      </c>
      <c r="C512" t="s">
        <v>13</v>
      </c>
      <c r="D512" t="s">
        <v>78</v>
      </c>
      <c r="E512" t="s">
        <v>15</v>
      </c>
      <c r="F512" t="s">
        <v>1152</v>
      </c>
      <c r="G512" t="s">
        <v>75</v>
      </c>
      <c r="H512">
        <v>0</v>
      </c>
      <c r="I512">
        <v>9</v>
      </c>
    </row>
    <row r="513" spans="1:9">
      <c r="A513" t="s">
        <v>1376</v>
      </c>
      <c r="B513" t="s">
        <v>1377</v>
      </c>
      <c r="C513" t="s">
        <v>21</v>
      </c>
      <c r="D513" t="s">
        <v>78</v>
      </c>
      <c r="E513" t="s">
        <v>73</v>
      </c>
      <c r="F513" t="s">
        <v>977</v>
      </c>
      <c r="G513" t="s">
        <v>75</v>
      </c>
      <c r="H513">
        <v>0</v>
      </c>
      <c r="I513">
        <v>28</v>
      </c>
    </row>
    <row r="514" spans="1:9">
      <c r="A514" t="s">
        <v>1378</v>
      </c>
      <c r="B514" t="s">
        <v>1379</v>
      </c>
      <c r="C514" t="s">
        <v>47</v>
      </c>
      <c r="D514" t="s">
        <v>36</v>
      </c>
      <c r="E514" t="s">
        <v>42</v>
      </c>
      <c r="F514" t="s">
        <v>1380</v>
      </c>
      <c r="G514" t="s">
        <v>49</v>
      </c>
      <c r="H514">
        <v>0</v>
      </c>
      <c r="I514">
        <v>7</v>
      </c>
    </row>
    <row r="515" spans="1:9">
      <c r="A515" t="s">
        <v>1381</v>
      </c>
      <c r="B515" t="s">
        <v>1382</v>
      </c>
      <c r="C515" t="s">
        <v>35</v>
      </c>
      <c r="D515" t="s">
        <v>14</v>
      </c>
      <c r="E515" t="s">
        <v>73</v>
      </c>
      <c r="F515" t="s">
        <v>1383</v>
      </c>
      <c r="G515" t="s">
        <v>38</v>
      </c>
      <c r="H515">
        <v>0</v>
      </c>
      <c r="I515">
        <v>25</v>
      </c>
    </row>
    <row r="516" spans="1:9">
      <c r="A516" t="s">
        <v>1384</v>
      </c>
      <c r="B516" t="s">
        <v>1385</v>
      </c>
      <c r="C516" t="s">
        <v>13</v>
      </c>
      <c r="D516" t="s">
        <v>22</v>
      </c>
      <c r="E516" t="s">
        <v>73</v>
      </c>
      <c r="F516" t="s">
        <v>1131</v>
      </c>
      <c r="G516" t="s">
        <v>75</v>
      </c>
      <c r="H516">
        <v>0</v>
      </c>
      <c r="I516">
        <v>29</v>
      </c>
    </row>
    <row r="517" spans="1:9">
      <c r="A517" t="s">
        <v>1386</v>
      </c>
      <c r="B517" t="s">
        <v>1387</v>
      </c>
      <c r="C517" t="s">
        <v>21</v>
      </c>
      <c r="D517" t="s">
        <v>36</v>
      </c>
      <c r="E517" t="s">
        <v>23</v>
      </c>
      <c r="F517" t="s">
        <v>188</v>
      </c>
      <c r="G517" t="s">
        <v>75</v>
      </c>
      <c r="H517">
        <v>0</v>
      </c>
      <c r="I517">
        <v>28</v>
      </c>
    </row>
    <row r="518" spans="1:9">
      <c r="A518" t="s">
        <v>1388</v>
      </c>
      <c r="B518" t="s">
        <v>1389</v>
      </c>
      <c r="C518" t="s">
        <v>35</v>
      </c>
      <c r="D518" t="s">
        <v>14</v>
      </c>
      <c r="E518" t="s">
        <v>23</v>
      </c>
      <c r="F518" t="s">
        <v>439</v>
      </c>
      <c r="G518" t="s">
        <v>54</v>
      </c>
      <c r="H518">
        <v>444643</v>
      </c>
      <c r="I518">
        <v>23</v>
      </c>
    </row>
    <row r="519" spans="1:9">
      <c r="A519" t="s">
        <v>1390</v>
      </c>
      <c r="B519" t="s">
        <v>1391</v>
      </c>
      <c r="C519" t="s">
        <v>13</v>
      </c>
      <c r="D519" t="s">
        <v>78</v>
      </c>
      <c r="E519" t="s">
        <v>73</v>
      </c>
      <c r="F519" t="s">
        <v>380</v>
      </c>
      <c r="G519" t="s">
        <v>25</v>
      </c>
      <c r="H519">
        <v>0</v>
      </c>
      <c r="I519">
        <v>21</v>
      </c>
    </row>
    <row r="520" spans="1:9">
      <c r="A520" t="s">
        <v>1392</v>
      </c>
      <c r="B520" t="s">
        <v>1393</v>
      </c>
      <c r="C520" t="s">
        <v>35</v>
      </c>
      <c r="D520" t="s">
        <v>22</v>
      </c>
      <c r="E520" t="s">
        <v>30</v>
      </c>
      <c r="F520" t="s">
        <v>1000</v>
      </c>
      <c r="G520" t="s">
        <v>38</v>
      </c>
      <c r="H520">
        <v>0</v>
      </c>
      <c r="I520">
        <v>9</v>
      </c>
    </row>
    <row r="521" spans="1:9">
      <c r="A521" t="s">
        <v>1394</v>
      </c>
      <c r="B521" t="s">
        <v>1395</v>
      </c>
      <c r="C521" t="s">
        <v>35</v>
      </c>
      <c r="D521" t="s">
        <v>22</v>
      </c>
      <c r="E521" t="s">
        <v>15</v>
      </c>
      <c r="F521" t="s">
        <v>1020</v>
      </c>
      <c r="G521" t="s">
        <v>54</v>
      </c>
      <c r="H521">
        <v>327962</v>
      </c>
      <c r="I521">
        <v>23</v>
      </c>
    </row>
    <row r="522" spans="1:9">
      <c r="A522" t="s">
        <v>1396</v>
      </c>
      <c r="B522" t="s">
        <v>1397</v>
      </c>
      <c r="C522" t="s">
        <v>29</v>
      </c>
      <c r="D522" t="s">
        <v>58</v>
      </c>
      <c r="E522" t="s">
        <v>15</v>
      </c>
      <c r="F522" t="s">
        <v>218</v>
      </c>
      <c r="G522" t="s">
        <v>75</v>
      </c>
      <c r="H522">
        <v>0</v>
      </c>
      <c r="I522">
        <v>25</v>
      </c>
    </row>
    <row r="523" spans="1:9">
      <c r="A523" t="s">
        <v>1398</v>
      </c>
      <c r="B523" t="s">
        <v>1399</v>
      </c>
      <c r="C523" t="s">
        <v>21</v>
      </c>
      <c r="D523" t="s">
        <v>58</v>
      </c>
      <c r="E523" t="s">
        <v>42</v>
      </c>
      <c r="F523" t="s">
        <v>752</v>
      </c>
      <c r="G523" t="s">
        <v>25</v>
      </c>
      <c r="H523">
        <v>0</v>
      </c>
      <c r="I523">
        <v>15</v>
      </c>
    </row>
    <row r="524" spans="1:9">
      <c r="A524" t="s">
        <v>1400</v>
      </c>
      <c r="B524" t="s">
        <v>1401</v>
      </c>
      <c r="C524" t="s">
        <v>63</v>
      </c>
      <c r="D524" t="s">
        <v>36</v>
      </c>
      <c r="E524" t="s">
        <v>42</v>
      </c>
      <c r="F524" t="s">
        <v>1402</v>
      </c>
      <c r="G524" t="s">
        <v>38</v>
      </c>
      <c r="H524">
        <v>0</v>
      </c>
      <c r="I524">
        <v>25</v>
      </c>
    </row>
    <row r="525" spans="1:9">
      <c r="A525" t="s">
        <v>1403</v>
      </c>
      <c r="B525" t="s">
        <v>1404</v>
      </c>
      <c r="C525" t="s">
        <v>35</v>
      </c>
      <c r="D525" t="s">
        <v>78</v>
      </c>
      <c r="E525" t="s">
        <v>15</v>
      </c>
      <c r="F525" t="s">
        <v>144</v>
      </c>
      <c r="G525" t="s">
        <v>75</v>
      </c>
      <c r="H525">
        <v>0</v>
      </c>
      <c r="I525">
        <v>1</v>
      </c>
    </row>
    <row r="526" spans="1:9">
      <c r="A526" t="s">
        <v>1405</v>
      </c>
      <c r="B526" t="s">
        <v>1406</v>
      </c>
      <c r="C526" t="s">
        <v>47</v>
      </c>
      <c r="D526" t="s">
        <v>22</v>
      </c>
      <c r="E526" t="s">
        <v>15</v>
      </c>
      <c r="F526" t="s">
        <v>462</v>
      </c>
      <c r="G526" t="s">
        <v>38</v>
      </c>
      <c r="H526">
        <v>0</v>
      </c>
      <c r="I526">
        <v>5</v>
      </c>
    </row>
    <row r="527" spans="1:9">
      <c r="A527" t="s">
        <v>1407</v>
      </c>
      <c r="B527" t="s">
        <v>1408</v>
      </c>
      <c r="C527" t="s">
        <v>35</v>
      </c>
      <c r="D527" t="s">
        <v>22</v>
      </c>
      <c r="E527" t="s">
        <v>42</v>
      </c>
      <c r="F527" t="s">
        <v>298</v>
      </c>
      <c r="G527" t="s">
        <v>17</v>
      </c>
      <c r="H527">
        <v>0</v>
      </c>
      <c r="I527">
        <v>28</v>
      </c>
    </row>
    <row r="528" spans="1:9">
      <c r="A528" t="s">
        <v>1409</v>
      </c>
      <c r="B528" t="s">
        <v>1410</v>
      </c>
      <c r="C528" t="s">
        <v>13</v>
      </c>
      <c r="D528" t="s">
        <v>78</v>
      </c>
      <c r="E528" t="s">
        <v>73</v>
      </c>
      <c r="F528" t="s">
        <v>902</v>
      </c>
      <c r="G528" t="s">
        <v>75</v>
      </c>
      <c r="H528">
        <v>0</v>
      </c>
      <c r="I528">
        <v>13</v>
      </c>
    </row>
    <row r="529" spans="1:9">
      <c r="A529" t="s">
        <v>1411</v>
      </c>
      <c r="B529" t="s">
        <v>1412</v>
      </c>
      <c r="C529" t="s">
        <v>21</v>
      </c>
      <c r="D529" t="s">
        <v>14</v>
      </c>
      <c r="E529" t="s">
        <v>73</v>
      </c>
      <c r="F529" t="s">
        <v>1413</v>
      </c>
      <c r="G529" t="s">
        <v>17</v>
      </c>
      <c r="H529">
        <v>0</v>
      </c>
      <c r="I529">
        <v>27</v>
      </c>
    </row>
    <row r="530" spans="1:9">
      <c r="A530" t="s">
        <v>1414</v>
      </c>
      <c r="B530" t="s">
        <v>1415</v>
      </c>
      <c r="C530" t="s">
        <v>13</v>
      </c>
      <c r="D530" t="s">
        <v>14</v>
      </c>
      <c r="E530" t="s">
        <v>30</v>
      </c>
      <c r="F530" t="s">
        <v>1416</v>
      </c>
      <c r="G530" t="s">
        <v>54</v>
      </c>
      <c r="H530">
        <v>176567</v>
      </c>
      <c r="I530">
        <v>2</v>
      </c>
    </row>
    <row r="531" spans="1:9">
      <c r="A531" t="s">
        <v>1417</v>
      </c>
      <c r="B531" t="s">
        <v>1418</v>
      </c>
      <c r="C531" t="s">
        <v>13</v>
      </c>
      <c r="D531" t="s">
        <v>58</v>
      </c>
      <c r="E531" t="s">
        <v>30</v>
      </c>
      <c r="F531" t="s">
        <v>1419</v>
      </c>
      <c r="G531" t="s">
        <v>25</v>
      </c>
      <c r="H531">
        <v>0</v>
      </c>
      <c r="I531">
        <v>25</v>
      </c>
    </row>
    <row r="532" spans="1:9">
      <c r="A532" t="s">
        <v>1420</v>
      </c>
      <c r="B532" t="s">
        <v>1421</v>
      </c>
      <c r="C532" t="s">
        <v>21</v>
      </c>
      <c r="D532" t="s">
        <v>14</v>
      </c>
      <c r="E532" t="s">
        <v>15</v>
      </c>
      <c r="F532" t="s">
        <v>1422</v>
      </c>
      <c r="G532" t="s">
        <v>25</v>
      </c>
      <c r="H532">
        <v>0</v>
      </c>
      <c r="I532">
        <v>21</v>
      </c>
    </row>
    <row r="533" spans="1:9">
      <c r="A533" t="s">
        <v>1423</v>
      </c>
      <c r="B533" t="s">
        <v>1424</v>
      </c>
      <c r="C533" t="s">
        <v>63</v>
      </c>
      <c r="D533" t="s">
        <v>14</v>
      </c>
      <c r="E533" t="s">
        <v>73</v>
      </c>
      <c r="F533" t="s">
        <v>665</v>
      </c>
      <c r="G533" t="s">
        <v>25</v>
      </c>
      <c r="H533">
        <v>0</v>
      </c>
      <c r="I533">
        <v>14</v>
      </c>
    </row>
    <row r="534" spans="1:9">
      <c r="A534" t="s">
        <v>1425</v>
      </c>
      <c r="B534" t="s">
        <v>1426</v>
      </c>
      <c r="C534" t="s">
        <v>21</v>
      </c>
      <c r="D534" t="s">
        <v>14</v>
      </c>
      <c r="E534" t="s">
        <v>30</v>
      </c>
      <c r="F534" t="s">
        <v>1427</v>
      </c>
      <c r="G534" t="s">
        <v>54</v>
      </c>
      <c r="H534">
        <v>334818</v>
      </c>
      <c r="I534">
        <v>26</v>
      </c>
    </row>
    <row r="535" spans="1:9">
      <c r="A535" t="s">
        <v>1428</v>
      </c>
      <c r="B535" t="s">
        <v>1429</v>
      </c>
      <c r="C535" t="s">
        <v>29</v>
      </c>
      <c r="D535" t="s">
        <v>58</v>
      </c>
      <c r="E535" t="s">
        <v>23</v>
      </c>
      <c r="F535" t="s">
        <v>1430</v>
      </c>
      <c r="G535" t="s">
        <v>25</v>
      </c>
      <c r="H535">
        <v>0</v>
      </c>
      <c r="I535">
        <v>3</v>
      </c>
    </row>
    <row r="536" spans="1:9">
      <c r="A536" t="s">
        <v>1431</v>
      </c>
      <c r="B536" t="s">
        <v>1432</v>
      </c>
      <c r="C536" t="s">
        <v>13</v>
      </c>
      <c r="D536" t="s">
        <v>22</v>
      </c>
      <c r="E536" t="s">
        <v>42</v>
      </c>
      <c r="F536" t="s">
        <v>1433</v>
      </c>
      <c r="G536" t="s">
        <v>25</v>
      </c>
      <c r="H536">
        <v>0</v>
      </c>
      <c r="I536">
        <v>7</v>
      </c>
    </row>
    <row r="537" spans="1:9">
      <c r="A537" t="s">
        <v>1434</v>
      </c>
      <c r="B537" t="s">
        <v>1435</v>
      </c>
      <c r="C537" t="s">
        <v>13</v>
      </c>
      <c r="D537" t="s">
        <v>78</v>
      </c>
      <c r="E537" t="s">
        <v>42</v>
      </c>
      <c r="F537" t="s">
        <v>574</v>
      </c>
      <c r="G537" t="s">
        <v>49</v>
      </c>
      <c r="H537">
        <v>0</v>
      </c>
      <c r="I537">
        <v>7</v>
      </c>
    </row>
    <row r="538" spans="1:9">
      <c r="A538" t="s">
        <v>1436</v>
      </c>
      <c r="B538" t="s">
        <v>1437</v>
      </c>
      <c r="C538" t="s">
        <v>35</v>
      </c>
      <c r="D538" t="s">
        <v>78</v>
      </c>
      <c r="E538" t="s">
        <v>30</v>
      </c>
      <c r="F538" t="s">
        <v>421</v>
      </c>
      <c r="G538" t="s">
        <v>17</v>
      </c>
      <c r="H538">
        <v>0</v>
      </c>
      <c r="I538">
        <v>27</v>
      </c>
    </row>
    <row r="539" spans="1:9">
      <c r="A539" t="s">
        <v>1438</v>
      </c>
      <c r="B539" t="s">
        <v>1439</v>
      </c>
      <c r="C539" t="s">
        <v>13</v>
      </c>
      <c r="D539" t="s">
        <v>78</v>
      </c>
      <c r="E539" t="s">
        <v>15</v>
      </c>
      <c r="F539" t="s">
        <v>238</v>
      </c>
      <c r="G539" t="s">
        <v>49</v>
      </c>
      <c r="H539">
        <v>0</v>
      </c>
      <c r="I539">
        <v>10</v>
      </c>
    </row>
    <row r="540" spans="1:9">
      <c r="A540" t="s">
        <v>1440</v>
      </c>
      <c r="B540" t="s">
        <v>1441</v>
      </c>
      <c r="C540" t="s">
        <v>13</v>
      </c>
      <c r="D540" t="s">
        <v>22</v>
      </c>
      <c r="E540" t="s">
        <v>42</v>
      </c>
      <c r="F540" t="s">
        <v>1177</v>
      </c>
      <c r="G540" t="s">
        <v>25</v>
      </c>
      <c r="H540">
        <v>0</v>
      </c>
      <c r="I540">
        <v>6</v>
      </c>
    </row>
    <row r="541" spans="1:9">
      <c r="A541" t="s">
        <v>1442</v>
      </c>
      <c r="B541" t="s">
        <v>1443</v>
      </c>
      <c r="C541" t="s">
        <v>29</v>
      </c>
      <c r="D541" t="s">
        <v>78</v>
      </c>
      <c r="E541" t="s">
        <v>15</v>
      </c>
      <c r="F541" t="s">
        <v>267</v>
      </c>
      <c r="G541" t="s">
        <v>25</v>
      </c>
      <c r="H541">
        <v>0</v>
      </c>
      <c r="I541">
        <v>22</v>
      </c>
    </row>
    <row r="542" spans="1:9">
      <c r="A542" t="s">
        <v>1444</v>
      </c>
      <c r="B542" t="s">
        <v>1445</v>
      </c>
      <c r="C542" t="s">
        <v>29</v>
      </c>
      <c r="D542" t="s">
        <v>78</v>
      </c>
      <c r="E542" t="s">
        <v>30</v>
      </c>
      <c r="F542" t="s">
        <v>586</v>
      </c>
      <c r="G542" t="s">
        <v>54</v>
      </c>
      <c r="H542">
        <v>370424</v>
      </c>
      <c r="I542">
        <v>24</v>
      </c>
    </row>
    <row r="543" spans="1:9">
      <c r="A543" t="s">
        <v>1446</v>
      </c>
      <c r="B543" t="s">
        <v>1447</v>
      </c>
      <c r="C543" t="s">
        <v>29</v>
      </c>
      <c r="D543" t="s">
        <v>78</v>
      </c>
      <c r="E543" t="s">
        <v>23</v>
      </c>
      <c r="F543" t="s">
        <v>1052</v>
      </c>
      <c r="G543" t="s">
        <v>54</v>
      </c>
      <c r="H543">
        <v>240234</v>
      </c>
      <c r="I543">
        <v>12</v>
      </c>
    </row>
    <row r="544" spans="1:9">
      <c r="A544" t="s">
        <v>1448</v>
      </c>
      <c r="B544" t="s">
        <v>1449</v>
      </c>
      <c r="C544" t="s">
        <v>47</v>
      </c>
      <c r="D544" t="s">
        <v>36</v>
      </c>
      <c r="E544" t="s">
        <v>23</v>
      </c>
      <c r="F544" t="s">
        <v>1450</v>
      </c>
      <c r="G544" t="s">
        <v>49</v>
      </c>
      <c r="H544">
        <v>0</v>
      </c>
      <c r="I544">
        <v>11</v>
      </c>
    </row>
    <row r="545" spans="1:9">
      <c r="A545" t="s">
        <v>1451</v>
      </c>
      <c r="B545" t="s">
        <v>1452</v>
      </c>
      <c r="C545" t="s">
        <v>35</v>
      </c>
      <c r="D545" t="s">
        <v>58</v>
      </c>
      <c r="E545" t="s">
        <v>73</v>
      </c>
      <c r="F545" t="s">
        <v>1042</v>
      </c>
      <c r="G545" t="s">
        <v>54</v>
      </c>
      <c r="H545">
        <v>381516</v>
      </c>
      <c r="I545">
        <v>20</v>
      </c>
    </row>
    <row r="546" spans="1:9">
      <c r="A546" t="s">
        <v>1453</v>
      </c>
      <c r="B546" t="s">
        <v>1454</v>
      </c>
      <c r="C546" t="s">
        <v>35</v>
      </c>
      <c r="D546" t="s">
        <v>58</v>
      </c>
      <c r="E546" t="s">
        <v>42</v>
      </c>
      <c r="F546" t="s">
        <v>1455</v>
      </c>
      <c r="G546" t="s">
        <v>75</v>
      </c>
      <c r="H546">
        <v>0</v>
      </c>
      <c r="I546">
        <v>15</v>
      </c>
    </row>
    <row r="547" spans="1:9">
      <c r="A547" t="s">
        <v>1456</v>
      </c>
      <c r="B547" t="s">
        <v>1457</v>
      </c>
      <c r="C547" t="s">
        <v>29</v>
      </c>
      <c r="D547" t="s">
        <v>78</v>
      </c>
      <c r="E547" t="s">
        <v>73</v>
      </c>
      <c r="F547" t="s">
        <v>1045</v>
      </c>
      <c r="G547" t="s">
        <v>54</v>
      </c>
      <c r="H547">
        <v>80830</v>
      </c>
      <c r="I547">
        <v>10</v>
      </c>
    </row>
    <row r="548" spans="1:9">
      <c r="A548" t="s">
        <v>1458</v>
      </c>
      <c r="B548" t="s">
        <v>1459</v>
      </c>
      <c r="C548" t="s">
        <v>21</v>
      </c>
      <c r="D548" t="s">
        <v>78</v>
      </c>
      <c r="E548" t="s">
        <v>15</v>
      </c>
      <c r="F548" t="s">
        <v>1460</v>
      </c>
      <c r="G548" t="s">
        <v>54</v>
      </c>
      <c r="H548">
        <v>120202</v>
      </c>
      <c r="I548">
        <v>2</v>
      </c>
    </row>
    <row r="549" spans="1:9">
      <c r="A549" t="s">
        <v>1461</v>
      </c>
      <c r="B549" t="s">
        <v>1462</v>
      </c>
      <c r="C549" t="s">
        <v>63</v>
      </c>
      <c r="D549" t="s">
        <v>14</v>
      </c>
      <c r="E549" t="s">
        <v>30</v>
      </c>
      <c r="F549" t="s">
        <v>284</v>
      </c>
      <c r="G549" t="s">
        <v>25</v>
      </c>
      <c r="H549">
        <v>0</v>
      </c>
      <c r="I549">
        <v>11</v>
      </c>
    </row>
    <row r="550" spans="1:9">
      <c r="A550" t="s">
        <v>1463</v>
      </c>
      <c r="B550" t="s">
        <v>1464</v>
      </c>
      <c r="C550" t="s">
        <v>63</v>
      </c>
      <c r="D550" t="s">
        <v>22</v>
      </c>
      <c r="E550" t="s">
        <v>30</v>
      </c>
      <c r="F550" t="s">
        <v>1371</v>
      </c>
      <c r="G550" t="s">
        <v>49</v>
      </c>
      <c r="H550">
        <v>0</v>
      </c>
      <c r="I550">
        <v>6</v>
      </c>
    </row>
    <row r="551" spans="1:9">
      <c r="A551" t="s">
        <v>1465</v>
      </c>
      <c r="B551" t="s">
        <v>1466</v>
      </c>
      <c r="C551" t="s">
        <v>13</v>
      </c>
      <c r="D551" t="s">
        <v>14</v>
      </c>
      <c r="E551" t="s">
        <v>42</v>
      </c>
      <c r="F551" t="s">
        <v>1467</v>
      </c>
      <c r="G551" t="s">
        <v>38</v>
      </c>
      <c r="H551">
        <v>0</v>
      </c>
      <c r="I551">
        <v>8</v>
      </c>
    </row>
    <row r="552" spans="1:9">
      <c r="A552" t="s">
        <v>1468</v>
      </c>
      <c r="B552" t="s">
        <v>1469</v>
      </c>
      <c r="C552" t="s">
        <v>35</v>
      </c>
      <c r="D552" t="s">
        <v>22</v>
      </c>
      <c r="E552" t="s">
        <v>42</v>
      </c>
      <c r="F552" t="s">
        <v>1470</v>
      </c>
      <c r="G552" t="s">
        <v>38</v>
      </c>
      <c r="H552">
        <v>0</v>
      </c>
      <c r="I552">
        <v>1</v>
      </c>
    </row>
    <row r="553" spans="1:9">
      <c r="A553" t="s">
        <v>1471</v>
      </c>
      <c r="B553" t="s">
        <v>1472</v>
      </c>
      <c r="C553" t="s">
        <v>35</v>
      </c>
      <c r="D553" t="s">
        <v>58</v>
      </c>
      <c r="E553" t="s">
        <v>42</v>
      </c>
      <c r="F553" t="s">
        <v>741</v>
      </c>
      <c r="G553" t="s">
        <v>75</v>
      </c>
      <c r="H553">
        <v>0</v>
      </c>
      <c r="I553">
        <v>24</v>
      </c>
    </row>
    <row r="554" spans="1:9">
      <c r="A554" t="s">
        <v>1473</v>
      </c>
      <c r="B554" t="s">
        <v>1474</v>
      </c>
      <c r="C554" t="s">
        <v>47</v>
      </c>
      <c r="D554" t="s">
        <v>36</v>
      </c>
      <c r="E554" t="s">
        <v>42</v>
      </c>
      <c r="F554" t="s">
        <v>275</v>
      </c>
      <c r="G554" t="s">
        <v>17</v>
      </c>
      <c r="H554">
        <v>0</v>
      </c>
      <c r="I554">
        <v>12</v>
      </c>
    </row>
    <row r="555" spans="1:9">
      <c r="A555" t="s">
        <v>1475</v>
      </c>
      <c r="B555" t="s">
        <v>1476</v>
      </c>
      <c r="C555" t="s">
        <v>35</v>
      </c>
      <c r="D555" t="s">
        <v>22</v>
      </c>
      <c r="E555" t="s">
        <v>73</v>
      </c>
      <c r="F555" t="s">
        <v>1477</v>
      </c>
      <c r="G555" t="s">
        <v>49</v>
      </c>
      <c r="H555">
        <v>0</v>
      </c>
      <c r="I555">
        <v>7</v>
      </c>
    </row>
    <row r="556" spans="1:9">
      <c r="A556" t="s">
        <v>1478</v>
      </c>
      <c r="B556" t="s">
        <v>1479</v>
      </c>
      <c r="C556" t="s">
        <v>29</v>
      </c>
      <c r="D556" t="s">
        <v>78</v>
      </c>
      <c r="E556" t="s">
        <v>73</v>
      </c>
      <c r="F556" t="s">
        <v>811</v>
      </c>
      <c r="G556" t="s">
        <v>38</v>
      </c>
      <c r="H556">
        <v>0</v>
      </c>
      <c r="I556">
        <v>30</v>
      </c>
    </row>
    <row r="557" spans="1:9">
      <c r="A557" t="s">
        <v>1480</v>
      </c>
      <c r="B557" t="s">
        <v>1481</v>
      </c>
      <c r="C557" t="s">
        <v>21</v>
      </c>
      <c r="D557" t="s">
        <v>22</v>
      </c>
      <c r="E557" t="s">
        <v>42</v>
      </c>
      <c r="F557" t="s">
        <v>53</v>
      </c>
      <c r="G557" t="s">
        <v>49</v>
      </c>
      <c r="H557">
        <v>0</v>
      </c>
      <c r="I557">
        <v>7</v>
      </c>
    </row>
    <row r="558" spans="1:9">
      <c r="A558" t="s">
        <v>1482</v>
      </c>
      <c r="B558" t="s">
        <v>1483</v>
      </c>
      <c r="C558" t="s">
        <v>29</v>
      </c>
      <c r="D558" t="s">
        <v>36</v>
      </c>
      <c r="E558" t="s">
        <v>23</v>
      </c>
      <c r="F558" t="s">
        <v>328</v>
      </c>
      <c r="G558" t="s">
        <v>49</v>
      </c>
      <c r="H558">
        <v>0</v>
      </c>
      <c r="I558">
        <v>7</v>
      </c>
    </row>
    <row r="559" spans="1:9">
      <c r="A559" t="s">
        <v>1484</v>
      </c>
      <c r="B559" t="s">
        <v>1485</v>
      </c>
      <c r="C559" t="s">
        <v>35</v>
      </c>
      <c r="D559" t="s">
        <v>14</v>
      </c>
      <c r="E559" t="s">
        <v>15</v>
      </c>
      <c r="F559" t="s">
        <v>203</v>
      </c>
      <c r="G559" t="s">
        <v>25</v>
      </c>
      <c r="H559">
        <v>0</v>
      </c>
      <c r="I559">
        <v>26</v>
      </c>
    </row>
    <row r="560" spans="1:9">
      <c r="A560" t="s">
        <v>1486</v>
      </c>
      <c r="B560" t="s">
        <v>1487</v>
      </c>
      <c r="C560" t="s">
        <v>13</v>
      </c>
      <c r="D560" t="s">
        <v>78</v>
      </c>
      <c r="E560" t="s">
        <v>73</v>
      </c>
      <c r="F560" t="s">
        <v>997</v>
      </c>
      <c r="G560" t="s">
        <v>38</v>
      </c>
      <c r="H560">
        <v>0</v>
      </c>
      <c r="I560">
        <v>12</v>
      </c>
    </row>
    <row r="561" spans="1:9">
      <c r="A561" t="s">
        <v>1488</v>
      </c>
      <c r="B561" t="s">
        <v>1489</v>
      </c>
      <c r="C561" t="s">
        <v>47</v>
      </c>
      <c r="D561" t="s">
        <v>22</v>
      </c>
      <c r="E561" t="s">
        <v>30</v>
      </c>
      <c r="F561" t="s">
        <v>421</v>
      </c>
      <c r="G561" t="s">
        <v>25</v>
      </c>
      <c r="H561">
        <v>0</v>
      </c>
      <c r="I561">
        <v>6</v>
      </c>
    </row>
    <row r="562" spans="1:9">
      <c r="A562" t="s">
        <v>1490</v>
      </c>
      <c r="B562" t="s">
        <v>1491</v>
      </c>
      <c r="C562" t="s">
        <v>47</v>
      </c>
      <c r="D562" t="s">
        <v>22</v>
      </c>
      <c r="E562" t="s">
        <v>15</v>
      </c>
      <c r="F562" t="s">
        <v>477</v>
      </c>
      <c r="G562" t="s">
        <v>17</v>
      </c>
      <c r="H562">
        <v>0</v>
      </c>
      <c r="I562">
        <v>17</v>
      </c>
    </row>
    <row r="563" spans="1:9">
      <c r="A563" t="s">
        <v>1492</v>
      </c>
      <c r="B563" t="s">
        <v>1493</v>
      </c>
      <c r="C563" t="s">
        <v>21</v>
      </c>
      <c r="D563" t="s">
        <v>78</v>
      </c>
      <c r="E563" t="s">
        <v>73</v>
      </c>
      <c r="F563" t="s">
        <v>554</v>
      </c>
      <c r="G563" t="s">
        <v>54</v>
      </c>
      <c r="H563">
        <v>234605</v>
      </c>
      <c r="I563">
        <v>7</v>
      </c>
    </row>
    <row r="564" spans="1:9">
      <c r="A564" t="s">
        <v>1494</v>
      </c>
      <c r="B564" t="s">
        <v>1495</v>
      </c>
      <c r="C564" t="s">
        <v>21</v>
      </c>
      <c r="D564" t="s">
        <v>78</v>
      </c>
      <c r="E564" t="s">
        <v>15</v>
      </c>
      <c r="F564" t="s">
        <v>1496</v>
      </c>
      <c r="G564" t="s">
        <v>17</v>
      </c>
      <c r="H564">
        <v>0</v>
      </c>
      <c r="I564">
        <v>19</v>
      </c>
    </row>
    <row r="565" spans="1:9">
      <c r="A565" t="s">
        <v>1497</v>
      </c>
      <c r="B565" t="s">
        <v>1498</v>
      </c>
      <c r="C565" t="s">
        <v>29</v>
      </c>
      <c r="D565" t="s">
        <v>22</v>
      </c>
      <c r="E565" t="s">
        <v>30</v>
      </c>
      <c r="F565" t="s">
        <v>961</v>
      </c>
      <c r="G565" t="s">
        <v>75</v>
      </c>
      <c r="H565">
        <v>0</v>
      </c>
      <c r="I565">
        <v>5</v>
      </c>
    </row>
    <row r="566" spans="1:9">
      <c r="A566" t="s">
        <v>1499</v>
      </c>
      <c r="B566" t="s">
        <v>1500</v>
      </c>
      <c r="C566" t="s">
        <v>63</v>
      </c>
      <c r="D566" t="s">
        <v>36</v>
      </c>
      <c r="E566" t="s">
        <v>30</v>
      </c>
      <c r="F566" t="s">
        <v>860</v>
      </c>
      <c r="G566" t="s">
        <v>75</v>
      </c>
      <c r="H566">
        <v>0</v>
      </c>
      <c r="I566">
        <v>21</v>
      </c>
    </row>
    <row r="567" spans="1:9">
      <c r="A567" t="s">
        <v>1501</v>
      </c>
      <c r="B567" t="s">
        <v>1502</v>
      </c>
      <c r="C567" t="s">
        <v>35</v>
      </c>
      <c r="D567" t="s">
        <v>22</v>
      </c>
      <c r="E567" t="s">
        <v>73</v>
      </c>
      <c r="F567" t="s">
        <v>421</v>
      </c>
      <c r="G567" t="s">
        <v>75</v>
      </c>
      <c r="H567">
        <v>0</v>
      </c>
      <c r="I567">
        <v>2</v>
      </c>
    </row>
    <row r="568" spans="1:9">
      <c r="A568" t="s">
        <v>1503</v>
      </c>
      <c r="B568" t="s">
        <v>1504</v>
      </c>
      <c r="C568" t="s">
        <v>21</v>
      </c>
      <c r="D568" t="s">
        <v>22</v>
      </c>
      <c r="E568" t="s">
        <v>30</v>
      </c>
      <c r="F568" t="s">
        <v>1177</v>
      </c>
      <c r="G568" t="s">
        <v>38</v>
      </c>
      <c r="H568">
        <v>0</v>
      </c>
      <c r="I568">
        <v>10</v>
      </c>
    </row>
    <row r="569" spans="1:9">
      <c r="A569" t="s">
        <v>1505</v>
      </c>
      <c r="B569" t="s">
        <v>1506</v>
      </c>
      <c r="C569" t="s">
        <v>35</v>
      </c>
      <c r="D569" t="s">
        <v>22</v>
      </c>
      <c r="E569" t="s">
        <v>15</v>
      </c>
      <c r="F569" t="s">
        <v>779</v>
      </c>
      <c r="G569" t="s">
        <v>17</v>
      </c>
      <c r="H569">
        <v>0</v>
      </c>
      <c r="I569">
        <v>14</v>
      </c>
    </row>
    <row r="570" spans="1:9">
      <c r="A570" t="s">
        <v>1507</v>
      </c>
      <c r="B570" t="s">
        <v>1508</v>
      </c>
      <c r="C570" t="s">
        <v>63</v>
      </c>
      <c r="D570" t="s">
        <v>22</v>
      </c>
      <c r="E570" t="s">
        <v>23</v>
      </c>
      <c r="F570" t="s">
        <v>179</v>
      </c>
      <c r="G570" t="s">
        <v>38</v>
      </c>
      <c r="H570">
        <v>0</v>
      </c>
      <c r="I570">
        <v>26</v>
      </c>
    </row>
    <row r="571" spans="1:9">
      <c r="A571" t="s">
        <v>1509</v>
      </c>
      <c r="B571" t="s">
        <v>1510</v>
      </c>
      <c r="C571" t="s">
        <v>29</v>
      </c>
      <c r="D571" t="s">
        <v>22</v>
      </c>
      <c r="E571" t="s">
        <v>42</v>
      </c>
      <c r="F571" t="s">
        <v>1045</v>
      </c>
      <c r="G571" t="s">
        <v>49</v>
      </c>
      <c r="H571">
        <v>0</v>
      </c>
      <c r="I571">
        <v>2</v>
      </c>
    </row>
    <row r="572" spans="1:9">
      <c r="A572" t="s">
        <v>1511</v>
      </c>
      <c r="B572" t="s">
        <v>1512</v>
      </c>
      <c r="C572" t="s">
        <v>29</v>
      </c>
      <c r="D572" t="s">
        <v>58</v>
      </c>
      <c r="E572" t="s">
        <v>73</v>
      </c>
      <c r="F572" t="s">
        <v>1513</v>
      </c>
      <c r="G572" t="s">
        <v>49</v>
      </c>
      <c r="H572">
        <v>0</v>
      </c>
      <c r="I572">
        <v>3</v>
      </c>
    </row>
    <row r="573" spans="1:9">
      <c r="A573" t="s">
        <v>1514</v>
      </c>
      <c r="B573" t="s">
        <v>1515</v>
      </c>
      <c r="C573" t="s">
        <v>29</v>
      </c>
      <c r="D573" t="s">
        <v>22</v>
      </c>
      <c r="E573" t="s">
        <v>30</v>
      </c>
      <c r="F573" t="s">
        <v>1516</v>
      </c>
      <c r="G573" t="s">
        <v>75</v>
      </c>
      <c r="H573">
        <v>0</v>
      </c>
      <c r="I573">
        <v>19</v>
      </c>
    </row>
    <row r="574" spans="1:9">
      <c r="A574" t="s">
        <v>1517</v>
      </c>
      <c r="B574" t="s">
        <v>1518</v>
      </c>
      <c r="C574" t="s">
        <v>13</v>
      </c>
      <c r="D574" t="s">
        <v>14</v>
      </c>
      <c r="E574" t="s">
        <v>15</v>
      </c>
      <c r="F574" t="s">
        <v>1519</v>
      </c>
      <c r="G574" t="s">
        <v>54</v>
      </c>
      <c r="H574">
        <v>475188</v>
      </c>
      <c r="I574">
        <v>9</v>
      </c>
    </row>
    <row r="575" spans="1:9">
      <c r="A575" t="s">
        <v>1520</v>
      </c>
      <c r="B575" t="s">
        <v>1521</v>
      </c>
      <c r="C575" t="s">
        <v>63</v>
      </c>
      <c r="D575" t="s">
        <v>78</v>
      </c>
      <c r="E575" t="s">
        <v>30</v>
      </c>
      <c r="F575" t="s">
        <v>372</v>
      </c>
      <c r="G575" t="s">
        <v>49</v>
      </c>
      <c r="H575">
        <v>0</v>
      </c>
      <c r="I575">
        <v>7</v>
      </c>
    </row>
    <row r="576" spans="1:9">
      <c r="A576" t="s">
        <v>1522</v>
      </c>
      <c r="B576" t="s">
        <v>1523</v>
      </c>
      <c r="C576" t="s">
        <v>47</v>
      </c>
      <c r="D576" t="s">
        <v>22</v>
      </c>
      <c r="E576" t="s">
        <v>73</v>
      </c>
      <c r="F576" t="s">
        <v>961</v>
      </c>
      <c r="G576" t="s">
        <v>49</v>
      </c>
      <c r="H576">
        <v>0</v>
      </c>
      <c r="I576">
        <v>18</v>
      </c>
    </row>
    <row r="577" spans="1:9">
      <c r="A577" t="s">
        <v>1524</v>
      </c>
      <c r="B577" t="s">
        <v>1525</v>
      </c>
      <c r="C577" t="s">
        <v>63</v>
      </c>
      <c r="D577" t="s">
        <v>14</v>
      </c>
      <c r="E577" t="s">
        <v>30</v>
      </c>
      <c r="F577" t="s">
        <v>445</v>
      </c>
      <c r="G577" t="s">
        <v>75</v>
      </c>
      <c r="H577">
        <v>0</v>
      </c>
      <c r="I577">
        <v>23</v>
      </c>
    </row>
    <row r="578" spans="1:9">
      <c r="A578" t="s">
        <v>1526</v>
      </c>
      <c r="B578" t="s">
        <v>1527</v>
      </c>
      <c r="C578" t="s">
        <v>13</v>
      </c>
      <c r="D578" t="s">
        <v>36</v>
      </c>
      <c r="E578" t="s">
        <v>15</v>
      </c>
      <c r="F578" t="s">
        <v>445</v>
      </c>
      <c r="G578" t="s">
        <v>25</v>
      </c>
      <c r="H578">
        <v>0</v>
      </c>
      <c r="I578">
        <v>3</v>
      </c>
    </row>
    <row r="579" spans="1:9">
      <c r="A579" t="s">
        <v>1528</v>
      </c>
      <c r="B579" t="s">
        <v>1529</v>
      </c>
      <c r="C579" t="s">
        <v>13</v>
      </c>
      <c r="D579" t="s">
        <v>14</v>
      </c>
      <c r="E579" t="s">
        <v>23</v>
      </c>
      <c r="F579" t="s">
        <v>267</v>
      </c>
      <c r="G579" t="s">
        <v>17</v>
      </c>
      <c r="H579">
        <v>0</v>
      </c>
      <c r="I579">
        <v>30</v>
      </c>
    </row>
    <row r="580" spans="1:9">
      <c r="A580" t="s">
        <v>1530</v>
      </c>
      <c r="B580" t="s">
        <v>1531</v>
      </c>
      <c r="C580" t="s">
        <v>13</v>
      </c>
      <c r="D580" t="s">
        <v>58</v>
      </c>
      <c r="E580" t="s">
        <v>15</v>
      </c>
      <c r="F580" t="s">
        <v>191</v>
      </c>
      <c r="G580" t="s">
        <v>49</v>
      </c>
      <c r="H580">
        <v>0</v>
      </c>
      <c r="I580">
        <v>9</v>
      </c>
    </row>
    <row r="581" spans="1:9">
      <c r="A581" t="s">
        <v>1532</v>
      </c>
      <c r="B581" t="s">
        <v>1533</v>
      </c>
      <c r="C581" t="s">
        <v>29</v>
      </c>
      <c r="D581" t="s">
        <v>78</v>
      </c>
      <c r="E581" t="s">
        <v>30</v>
      </c>
      <c r="F581" t="s">
        <v>905</v>
      </c>
      <c r="G581" t="s">
        <v>49</v>
      </c>
      <c r="H581">
        <v>0</v>
      </c>
      <c r="I581">
        <v>15</v>
      </c>
    </row>
    <row r="582" spans="1:9">
      <c r="A582" t="s">
        <v>1534</v>
      </c>
      <c r="B582" t="s">
        <v>1535</v>
      </c>
      <c r="C582" t="s">
        <v>63</v>
      </c>
      <c r="D582" t="s">
        <v>22</v>
      </c>
      <c r="E582" t="s">
        <v>15</v>
      </c>
      <c r="F582" t="s">
        <v>235</v>
      </c>
      <c r="G582" t="s">
        <v>75</v>
      </c>
      <c r="H582">
        <v>0</v>
      </c>
      <c r="I582">
        <v>30</v>
      </c>
    </row>
    <row r="583" spans="1:9">
      <c r="A583" t="s">
        <v>1536</v>
      </c>
      <c r="B583" t="s">
        <v>1537</v>
      </c>
      <c r="C583" t="s">
        <v>13</v>
      </c>
      <c r="D583" t="s">
        <v>58</v>
      </c>
      <c r="E583" t="s">
        <v>42</v>
      </c>
      <c r="F583" t="s">
        <v>1538</v>
      </c>
      <c r="G583" t="s">
        <v>54</v>
      </c>
      <c r="H583">
        <v>313646</v>
      </c>
      <c r="I583">
        <v>10</v>
      </c>
    </row>
    <row r="584" spans="1:9">
      <c r="A584" t="s">
        <v>1539</v>
      </c>
      <c r="B584" t="s">
        <v>1540</v>
      </c>
      <c r="C584" t="s">
        <v>13</v>
      </c>
      <c r="D584" t="s">
        <v>14</v>
      </c>
      <c r="E584" t="s">
        <v>42</v>
      </c>
      <c r="F584" t="s">
        <v>1541</v>
      </c>
      <c r="G584" t="s">
        <v>17</v>
      </c>
      <c r="H584">
        <v>0</v>
      </c>
      <c r="I584">
        <v>22</v>
      </c>
    </row>
    <row r="585" spans="1:9">
      <c r="A585" t="s">
        <v>1542</v>
      </c>
      <c r="B585" t="s">
        <v>1543</v>
      </c>
      <c r="C585" t="s">
        <v>47</v>
      </c>
      <c r="D585" t="s">
        <v>78</v>
      </c>
      <c r="E585" t="s">
        <v>73</v>
      </c>
      <c r="F585" t="s">
        <v>605</v>
      </c>
      <c r="G585" t="s">
        <v>49</v>
      </c>
      <c r="H585">
        <v>0</v>
      </c>
      <c r="I585">
        <v>26</v>
      </c>
    </row>
    <row r="586" spans="1:9">
      <c r="A586" t="s">
        <v>1544</v>
      </c>
      <c r="B586" t="s">
        <v>1545</v>
      </c>
      <c r="C586" t="s">
        <v>35</v>
      </c>
      <c r="D586" t="s">
        <v>78</v>
      </c>
      <c r="E586" t="s">
        <v>42</v>
      </c>
      <c r="F586" t="s">
        <v>1073</v>
      </c>
      <c r="G586" t="s">
        <v>25</v>
      </c>
      <c r="H586">
        <v>0</v>
      </c>
      <c r="I586">
        <v>6</v>
      </c>
    </row>
    <row r="587" spans="1:9">
      <c r="A587" t="s">
        <v>1546</v>
      </c>
      <c r="B587" t="s">
        <v>1547</v>
      </c>
      <c r="C587" t="s">
        <v>21</v>
      </c>
      <c r="D587" t="s">
        <v>58</v>
      </c>
      <c r="E587" t="s">
        <v>73</v>
      </c>
      <c r="F587" t="s">
        <v>1548</v>
      </c>
      <c r="G587" t="s">
        <v>54</v>
      </c>
      <c r="H587">
        <v>31569</v>
      </c>
      <c r="I587">
        <v>21</v>
      </c>
    </row>
    <row r="588" spans="1:9">
      <c r="A588" t="s">
        <v>1549</v>
      </c>
      <c r="B588" t="s">
        <v>1550</v>
      </c>
      <c r="C588" t="s">
        <v>47</v>
      </c>
      <c r="D588" t="s">
        <v>14</v>
      </c>
      <c r="E588" t="s">
        <v>30</v>
      </c>
      <c r="F588" t="s">
        <v>1164</v>
      </c>
      <c r="G588" t="s">
        <v>38</v>
      </c>
      <c r="H588">
        <v>0</v>
      </c>
      <c r="I588">
        <v>23</v>
      </c>
    </row>
    <row r="589" spans="1:9">
      <c r="A589" t="s">
        <v>1551</v>
      </c>
      <c r="B589" t="s">
        <v>1552</v>
      </c>
      <c r="C589" t="s">
        <v>35</v>
      </c>
      <c r="D589" t="s">
        <v>58</v>
      </c>
      <c r="E589" t="s">
        <v>15</v>
      </c>
      <c r="F589" t="s">
        <v>366</v>
      </c>
      <c r="G589" t="s">
        <v>25</v>
      </c>
      <c r="H589">
        <v>0</v>
      </c>
      <c r="I589">
        <v>17</v>
      </c>
    </row>
    <row r="590" spans="1:9">
      <c r="A590" t="s">
        <v>1553</v>
      </c>
      <c r="B590" t="s">
        <v>1554</v>
      </c>
      <c r="C590" t="s">
        <v>29</v>
      </c>
      <c r="D590" t="s">
        <v>78</v>
      </c>
      <c r="E590" t="s">
        <v>23</v>
      </c>
      <c r="F590" t="s">
        <v>1555</v>
      </c>
      <c r="G590" t="s">
        <v>17</v>
      </c>
      <c r="H590">
        <v>0</v>
      </c>
      <c r="I590">
        <v>14</v>
      </c>
    </row>
    <row r="591" spans="1:9">
      <c r="A591" t="s">
        <v>1556</v>
      </c>
      <c r="B591" t="s">
        <v>1557</v>
      </c>
      <c r="C591" t="s">
        <v>29</v>
      </c>
      <c r="D591" t="s">
        <v>22</v>
      </c>
      <c r="E591" t="s">
        <v>15</v>
      </c>
      <c r="F591" t="s">
        <v>616</v>
      </c>
      <c r="G591" t="s">
        <v>17</v>
      </c>
      <c r="H591">
        <v>0</v>
      </c>
      <c r="I591">
        <v>29</v>
      </c>
    </row>
    <row r="592" spans="1:9">
      <c r="A592" t="s">
        <v>1558</v>
      </c>
      <c r="B592" t="s">
        <v>1559</v>
      </c>
      <c r="C592" t="s">
        <v>29</v>
      </c>
      <c r="D592" t="s">
        <v>36</v>
      </c>
      <c r="E592" t="s">
        <v>30</v>
      </c>
      <c r="F592" t="s">
        <v>879</v>
      </c>
      <c r="G592" t="s">
        <v>38</v>
      </c>
      <c r="H592">
        <v>0</v>
      </c>
      <c r="I592">
        <v>8</v>
      </c>
    </row>
    <row r="593" spans="1:9">
      <c r="A593" t="s">
        <v>1560</v>
      </c>
      <c r="B593" t="s">
        <v>1561</v>
      </c>
      <c r="C593" t="s">
        <v>63</v>
      </c>
      <c r="D593" t="s">
        <v>14</v>
      </c>
      <c r="E593" t="s">
        <v>73</v>
      </c>
      <c r="F593" t="s">
        <v>1562</v>
      </c>
      <c r="G593" t="s">
        <v>25</v>
      </c>
      <c r="H593">
        <v>0</v>
      </c>
      <c r="I593">
        <v>30</v>
      </c>
    </row>
    <row r="594" spans="1:9">
      <c r="A594" t="s">
        <v>1563</v>
      </c>
      <c r="B594" t="s">
        <v>1564</v>
      </c>
      <c r="C594" t="s">
        <v>47</v>
      </c>
      <c r="D594" t="s">
        <v>58</v>
      </c>
      <c r="E594" t="s">
        <v>15</v>
      </c>
      <c r="F594" t="s">
        <v>1091</v>
      </c>
      <c r="G594" t="s">
        <v>17</v>
      </c>
      <c r="H594">
        <v>0</v>
      </c>
      <c r="I594">
        <v>6</v>
      </c>
    </row>
    <row r="595" spans="1:9">
      <c r="A595" t="s">
        <v>1565</v>
      </c>
      <c r="B595" t="s">
        <v>1566</v>
      </c>
      <c r="C595" t="s">
        <v>29</v>
      </c>
      <c r="D595" t="s">
        <v>22</v>
      </c>
      <c r="E595" t="s">
        <v>73</v>
      </c>
      <c r="F595" t="s">
        <v>1164</v>
      </c>
      <c r="G595" t="s">
        <v>49</v>
      </c>
      <c r="H595">
        <v>0</v>
      </c>
      <c r="I595">
        <v>28</v>
      </c>
    </row>
    <row r="596" spans="1:9">
      <c r="A596" t="s">
        <v>1567</v>
      </c>
      <c r="B596" t="s">
        <v>1568</v>
      </c>
      <c r="C596" t="s">
        <v>35</v>
      </c>
      <c r="D596" t="s">
        <v>36</v>
      </c>
      <c r="E596" t="s">
        <v>30</v>
      </c>
      <c r="F596" t="s">
        <v>977</v>
      </c>
      <c r="G596" t="s">
        <v>75</v>
      </c>
      <c r="H596">
        <v>0</v>
      </c>
      <c r="I596">
        <v>18</v>
      </c>
    </row>
    <row r="597" spans="1:9">
      <c r="A597" t="s">
        <v>1569</v>
      </c>
      <c r="B597" t="s">
        <v>1570</v>
      </c>
      <c r="C597" t="s">
        <v>29</v>
      </c>
      <c r="D597" t="s">
        <v>36</v>
      </c>
      <c r="E597" t="s">
        <v>42</v>
      </c>
      <c r="F597" t="s">
        <v>1571</v>
      </c>
      <c r="G597" t="s">
        <v>75</v>
      </c>
      <c r="H597">
        <v>0</v>
      </c>
      <c r="I597">
        <v>16</v>
      </c>
    </row>
    <row r="598" spans="1:9">
      <c r="A598" t="s">
        <v>1572</v>
      </c>
      <c r="B598" t="s">
        <v>1573</v>
      </c>
      <c r="C598" t="s">
        <v>29</v>
      </c>
      <c r="D598" t="s">
        <v>22</v>
      </c>
      <c r="E598" t="s">
        <v>23</v>
      </c>
      <c r="F598" t="s">
        <v>1256</v>
      </c>
      <c r="G598" t="s">
        <v>49</v>
      </c>
      <c r="H598">
        <v>0</v>
      </c>
      <c r="I598">
        <v>7</v>
      </c>
    </row>
    <row r="599" spans="1:9">
      <c r="A599" t="s">
        <v>1574</v>
      </c>
      <c r="B599" t="s">
        <v>1575</v>
      </c>
      <c r="C599" t="s">
        <v>35</v>
      </c>
      <c r="D599" t="s">
        <v>78</v>
      </c>
      <c r="E599" t="s">
        <v>42</v>
      </c>
      <c r="F599" t="s">
        <v>1513</v>
      </c>
      <c r="G599" t="s">
        <v>17</v>
      </c>
      <c r="H599">
        <v>0</v>
      </c>
      <c r="I599">
        <v>14</v>
      </c>
    </row>
    <row r="600" spans="1:9">
      <c r="A600" t="s">
        <v>1576</v>
      </c>
      <c r="B600" t="s">
        <v>1577</v>
      </c>
      <c r="C600" t="s">
        <v>63</v>
      </c>
      <c r="D600" t="s">
        <v>22</v>
      </c>
      <c r="E600" t="s">
        <v>23</v>
      </c>
      <c r="F600" t="s">
        <v>1578</v>
      </c>
      <c r="G600" t="s">
        <v>54</v>
      </c>
      <c r="H600">
        <v>96299</v>
      </c>
      <c r="I600">
        <v>23</v>
      </c>
    </row>
    <row r="601" spans="1:9">
      <c r="A601" t="s">
        <v>1579</v>
      </c>
      <c r="B601" t="s">
        <v>1580</v>
      </c>
      <c r="C601" t="s">
        <v>21</v>
      </c>
      <c r="D601" t="s">
        <v>78</v>
      </c>
      <c r="E601" t="s">
        <v>30</v>
      </c>
      <c r="F601" t="s">
        <v>1581</v>
      </c>
      <c r="G601" t="s">
        <v>75</v>
      </c>
      <c r="H601">
        <v>0</v>
      </c>
      <c r="I601">
        <v>1</v>
      </c>
    </row>
    <row r="602" spans="1:9">
      <c r="A602" t="s">
        <v>1582</v>
      </c>
      <c r="B602" t="s">
        <v>1583</v>
      </c>
      <c r="C602" t="s">
        <v>13</v>
      </c>
      <c r="D602" t="s">
        <v>36</v>
      </c>
      <c r="E602" t="s">
        <v>73</v>
      </c>
      <c r="F602" t="s">
        <v>776</v>
      </c>
      <c r="G602" t="s">
        <v>75</v>
      </c>
      <c r="H602">
        <v>0</v>
      </c>
      <c r="I602">
        <v>19</v>
      </c>
    </row>
    <row r="603" spans="1:9">
      <c r="A603" t="s">
        <v>1584</v>
      </c>
      <c r="B603" t="s">
        <v>1585</v>
      </c>
      <c r="C603" t="s">
        <v>21</v>
      </c>
      <c r="D603" t="s">
        <v>36</v>
      </c>
      <c r="E603" t="s">
        <v>15</v>
      </c>
      <c r="F603" t="s">
        <v>806</v>
      </c>
      <c r="G603" t="s">
        <v>38</v>
      </c>
      <c r="H603">
        <v>0</v>
      </c>
      <c r="I603">
        <v>5</v>
      </c>
    </row>
    <row r="604" spans="1:9">
      <c r="A604" t="s">
        <v>1586</v>
      </c>
      <c r="B604" t="s">
        <v>1587</v>
      </c>
      <c r="C604" t="s">
        <v>35</v>
      </c>
      <c r="D604" t="s">
        <v>14</v>
      </c>
      <c r="E604" t="s">
        <v>23</v>
      </c>
      <c r="F604" t="s">
        <v>126</v>
      </c>
      <c r="G604" t="s">
        <v>54</v>
      </c>
      <c r="H604">
        <v>118665</v>
      </c>
      <c r="I604">
        <v>29</v>
      </c>
    </row>
    <row r="605" spans="1:9">
      <c r="A605" t="s">
        <v>1588</v>
      </c>
      <c r="B605" t="s">
        <v>1589</v>
      </c>
      <c r="C605" t="s">
        <v>13</v>
      </c>
      <c r="D605" t="s">
        <v>36</v>
      </c>
      <c r="E605" t="s">
        <v>23</v>
      </c>
      <c r="F605" t="s">
        <v>1590</v>
      </c>
      <c r="G605" t="s">
        <v>75</v>
      </c>
      <c r="H605">
        <v>0</v>
      </c>
      <c r="I605">
        <v>24</v>
      </c>
    </row>
    <row r="606" spans="1:9">
      <c r="A606" t="s">
        <v>1591</v>
      </c>
      <c r="B606" t="s">
        <v>1592</v>
      </c>
      <c r="C606" t="s">
        <v>63</v>
      </c>
      <c r="D606" t="s">
        <v>58</v>
      </c>
      <c r="E606" t="s">
        <v>23</v>
      </c>
      <c r="F606" t="s">
        <v>117</v>
      </c>
      <c r="G606" t="s">
        <v>49</v>
      </c>
      <c r="H606">
        <v>0</v>
      </c>
      <c r="I606">
        <v>2</v>
      </c>
    </row>
    <row r="607" spans="1:9">
      <c r="A607" t="s">
        <v>1593</v>
      </c>
      <c r="B607" t="s">
        <v>1594</v>
      </c>
      <c r="C607" t="s">
        <v>29</v>
      </c>
      <c r="D607" t="s">
        <v>78</v>
      </c>
      <c r="E607" t="s">
        <v>30</v>
      </c>
      <c r="F607" t="s">
        <v>571</v>
      </c>
      <c r="G607" t="s">
        <v>75</v>
      </c>
      <c r="H607">
        <v>0</v>
      </c>
      <c r="I607">
        <v>19</v>
      </c>
    </row>
    <row r="608" spans="1:9">
      <c r="A608" t="s">
        <v>1595</v>
      </c>
      <c r="B608" t="s">
        <v>1596</v>
      </c>
      <c r="C608" t="s">
        <v>35</v>
      </c>
      <c r="D608" t="s">
        <v>78</v>
      </c>
      <c r="E608" t="s">
        <v>15</v>
      </c>
      <c r="F608" t="s">
        <v>1597</v>
      </c>
      <c r="G608" t="s">
        <v>75</v>
      </c>
      <c r="H608">
        <v>0</v>
      </c>
      <c r="I608">
        <v>22</v>
      </c>
    </row>
    <row r="609" spans="1:9">
      <c r="A609" t="s">
        <v>1598</v>
      </c>
      <c r="B609" t="s">
        <v>1599</v>
      </c>
      <c r="C609" t="s">
        <v>63</v>
      </c>
      <c r="D609" t="s">
        <v>78</v>
      </c>
      <c r="E609" t="s">
        <v>23</v>
      </c>
      <c r="F609" t="s">
        <v>538</v>
      </c>
      <c r="G609" t="s">
        <v>17</v>
      </c>
      <c r="H609">
        <v>0</v>
      </c>
      <c r="I609">
        <v>23</v>
      </c>
    </row>
    <row r="610" spans="1:9">
      <c r="A610" t="s">
        <v>1600</v>
      </c>
      <c r="B610" t="s">
        <v>1601</v>
      </c>
      <c r="C610" t="s">
        <v>29</v>
      </c>
      <c r="D610" t="s">
        <v>78</v>
      </c>
      <c r="E610" t="s">
        <v>15</v>
      </c>
      <c r="F610" t="s">
        <v>1602</v>
      </c>
      <c r="G610" t="s">
        <v>54</v>
      </c>
      <c r="H610">
        <v>85199</v>
      </c>
      <c r="I610">
        <v>3</v>
      </c>
    </row>
    <row r="611" spans="1:9">
      <c r="A611" t="s">
        <v>1603</v>
      </c>
      <c r="B611" t="s">
        <v>1604</v>
      </c>
      <c r="C611" t="s">
        <v>35</v>
      </c>
      <c r="D611" t="s">
        <v>78</v>
      </c>
      <c r="E611" t="s">
        <v>42</v>
      </c>
      <c r="F611" t="s">
        <v>287</v>
      </c>
      <c r="G611" t="s">
        <v>38</v>
      </c>
      <c r="H611">
        <v>0</v>
      </c>
      <c r="I611">
        <v>14</v>
      </c>
    </row>
    <row r="612" spans="1:9">
      <c r="A612" t="s">
        <v>1605</v>
      </c>
      <c r="B612" t="s">
        <v>1606</v>
      </c>
      <c r="C612" t="s">
        <v>63</v>
      </c>
      <c r="D612" t="s">
        <v>22</v>
      </c>
      <c r="E612" t="s">
        <v>30</v>
      </c>
      <c r="F612" t="s">
        <v>386</v>
      </c>
      <c r="G612" t="s">
        <v>49</v>
      </c>
      <c r="H612">
        <v>0</v>
      </c>
      <c r="I612">
        <v>2</v>
      </c>
    </row>
    <row r="613" spans="1:9">
      <c r="A613" t="s">
        <v>1607</v>
      </c>
      <c r="B613" t="s">
        <v>1608</v>
      </c>
      <c r="C613" t="s">
        <v>21</v>
      </c>
      <c r="D613" t="s">
        <v>36</v>
      </c>
      <c r="E613" t="s">
        <v>30</v>
      </c>
      <c r="F613" t="s">
        <v>1609</v>
      </c>
      <c r="G613" t="s">
        <v>75</v>
      </c>
      <c r="H613">
        <v>0</v>
      </c>
      <c r="I613">
        <v>4</v>
      </c>
    </row>
    <row r="614" spans="1:9">
      <c r="A614" t="s">
        <v>1610</v>
      </c>
      <c r="B614" t="s">
        <v>1611</v>
      </c>
      <c r="C614" t="s">
        <v>13</v>
      </c>
      <c r="D614" t="s">
        <v>14</v>
      </c>
      <c r="E614" t="s">
        <v>15</v>
      </c>
      <c r="F614" t="s">
        <v>74</v>
      </c>
      <c r="G614" t="s">
        <v>38</v>
      </c>
      <c r="H614">
        <v>0</v>
      </c>
      <c r="I614">
        <v>23</v>
      </c>
    </row>
    <row r="615" spans="1:9">
      <c r="A615" t="s">
        <v>1612</v>
      </c>
      <c r="B615" t="s">
        <v>1613</v>
      </c>
      <c r="C615" t="s">
        <v>29</v>
      </c>
      <c r="D615" t="s">
        <v>58</v>
      </c>
      <c r="E615" t="s">
        <v>42</v>
      </c>
      <c r="F615" t="s">
        <v>1614</v>
      </c>
      <c r="G615" t="s">
        <v>49</v>
      </c>
      <c r="H615">
        <v>0</v>
      </c>
      <c r="I615">
        <v>19</v>
      </c>
    </row>
    <row r="616" spans="1:9">
      <c r="A616" t="s">
        <v>1615</v>
      </c>
      <c r="B616" t="s">
        <v>1616</v>
      </c>
      <c r="C616" t="s">
        <v>35</v>
      </c>
      <c r="D616" t="s">
        <v>78</v>
      </c>
      <c r="E616" t="s">
        <v>30</v>
      </c>
      <c r="F616" t="s">
        <v>1617</v>
      </c>
      <c r="G616" t="s">
        <v>17</v>
      </c>
      <c r="H616">
        <v>0</v>
      </c>
      <c r="I616">
        <v>24</v>
      </c>
    </row>
    <row r="617" spans="1:9">
      <c r="A617" t="s">
        <v>1618</v>
      </c>
      <c r="B617" t="s">
        <v>1619</v>
      </c>
      <c r="C617" t="s">
        <v>21</v>
      </c>
      <c r="D617" t="s">
        <v>58</v>
      </c>
      <c r="E617" t="s">
        <v>73</v>
      </c>
      <c r="F617" t="s">
        <v>749</v>
      </c>
      <c r="G617" t="s">
        <v>25</v>
      </c>
      <c r="H617">
        <v>0</v>
      </c>
      <c r="I617">
        <v>26</v>
      </c>
    </row>
    <row r="618" spans="1:9">
      <c r="A618" t="s">
        <v>1620</v>
      </c>
      <c r="B618" t="s">
        <v>1621</v>
      </c>
      <c r="C618" t="s">
        <v>35</v>
      </c>
      <c r="D618" t="s">
        <v>22</v>
      </c>
      <c r="E618" t="s">
        <v>30</v>
      </c>
      <c r="F618" t="s">
        <v>129</v>
      </c>
      <c r="G618" t="s">
        <v>38</v>
      </c>
      <c r="H618">
        <v>0</v>
      </c>
      <c r="I618">
        <v>14</v>
      </c>
    </row>
    <row r="619" spans="1:9">
      <c r="A619" t="s">
        <v>1622</v>
      </c>
      <c r="B619" t="s">
        <v>1623</v>
      </c>
      <c r="C619" t="s">
        <v>21</v>
      </c>
      <c r="D619" t="s">
        <v>58</v>
      </c>
      <c r="E619" t="s">
        <v>15</v>
      </c>
      <c r="F619" t="s">
        <v>185</v>
      </c>
      <c r="G619" t="s">
        <v>75</v>
      </c>
      <c r="H619">
        <v>0</v>
      </c>
      <c r="I619">
        <v>11</v>
      </c>
    </row>
    <row r="620" spans="1:9">
      <c r="A620" t="s">
        <v>1624</v>
      </c>
      <c r="B620" t="s">
        <v>1625</v>
      </c>
      <c r="C620" t="s">
        <v>47</v>
      </c>
      <c r="D620" t="s">
        <v>36</v>
      </c>
      <c r="E620" t="s">
        <v>73</v>
      </c>
      <c r="F620" t="s">
        <v>1562</v>
      </c>
      <c r="G620" t="s">
        <v>38</v>
      </c>
      <c r="H620">
        <v>0</v>
      </c>
      <c r="I620">
        <v>6</v>
      </c>
    </row>
    <row r="621" spans="1:9">
      <c r="A621" t="s">
        <v>1626</v>
      </c>
      <c r="B621" t="s">
        <v>1627</v>
      </c>
      <c r="C621" t="s">
        <v>21</v>
      </c>
      <c r="D621" t="s">
        <v>78</v>
      </c>
      <c r="E621" t="s">
        <v>42</v>
      </c>
      <c r="F621" t="s">
        <v>1628</v>
      </c>
      <c r="G621" t="s">
        <v>25</v>
      </c>
      <c r="H621">
        <v>0</v>
      </c>
      <c r="I621">
        <v>13</v>
      </c>
    </row>
    <row r="622" spans="1:9">
      <c r="A622" t="s">
        <v>1629</v>
      </c>
      <c r="B622" t="s">
        <v>1630</v>
      </c>
      <c r="C622" t="s">
        <v>21</v>
      </c>
      <c r="D622" t="s">
        <v>14</v>
      </c>
      <c r="E622" t="s">
        <v>30</v>
      </c>
      <c r="F622" t="s">
        <v>456</v>
      </c>
      <c r="G622" t="s">
        <v>49</v>
      </c>
      <c r="H622">
        <v>0</v>
      </c>
      <c r="I622">
        <v>24</v>
      </c>
    </row>
    <row r="623" spans="1:9">
      <c r="A623" t="s">
        <v>1631</v>
      </c>
      <c r="B623" t="s">
        <v>1632</v>
      </c>
      <c r="C623" t="s">
        <v>63</v>
      </c>
      <c r="D623" t="s">
        <v>36</v>
      </c>
      <c r="E623" t="s">
        <v>42</v>
      </c>
      <c r="F623" t="s">
        <v>594</v>
      </c>
      <c r="G623" t="s">
        <v>75</v>
      </c>
      <c r="H623">
        <v>0</v>
      </c>
      <c r="I623">
        <v>28</v>
      </c>
    </row>
    <row r="624" spans="1:9">
      <c r="A624" t="s">
        <v>1633</v>
      </c>
      <c r="B624" t="s">
        <v>1634</v>
      </c>
      <c r="C624" t="s">
        <v>21</v>
      </c>
      <c r="D624" t="s">
        <v>22</v>
      </c>
      <c r="E624" t="s">
        <v>42</v>
      </c>
      <c r="F624" t="s">
        <v>1336</v>
      </c>
      <c r="G624" t="s">
        <v>75</v>
      </c>
      <c r="H624">
        <v>0</v>
      </c>
      <c r="I624">
        <v>2</v>
      </c>
    </row>
    <row r="625" spans="1:9">
      <c r="A625" t="s">
        <v>1635</v>
      </c>
      <c r="B625" t="s">
        <v>1636</v>
      </c>
      <c r="C625" t="s">
        <v>21</v>
      </c>
      <c r="D625" t="s">
        <v>58</v>
      </c>
      <c r="E625" t="s">
        <v>73</v>
      </c>
      <c r="F625" t="s">
        <v>741</v>
      </c>
      <c r="G625" t="s">
        <v>54</v>
      </c>
      <c r="H625">
        <v>185889</v>
      </c>
      <c r="I625">
        <v>15</v>
      </c>
    </row>
    <row r="626" spans="1:9">
      <c r="A626" t="s">
        <v>1637</v>
      </c>
      <c r="B626" t="s">
        <v>1638</v>
      </c>
      <c r="C626" t="s">
        <v>13</v>
      </c>
      <c r="D626" t="s">
        <v>22</v>
      </c>
      <c r="E626" t="s">
        <v>73</v>
      </c>
      <c r="F626" t="s">
        <v>221</v>
      </c>
      <c r="G626" t="s">
        <v>38</v>
      </c>
      <c r="H626">
        <v>0</v>
      </c>
      <c r="I626">
        <v>13</v>
      </c>
    </row>
    <row r="627" spans="1:9">
      <c r="A627" t="s">
        <v>1639</v>
      </c>
      <c r="B627" t="s">
        <v>1640</v>
      </c>
      <c r="C627" t="s">
        <v>21</v>
      </c>
      <c r="D627" t="s">
        <v>22</v>
      </c>
      <c r="E627" t="s">
        <v>73</v>
      </c>
      <c r="F627" t="s">
        <v>1641</v>
      </c>
      <c r="G627" t="s">
        <v>75</v>
      </c>
      <c r="H627">
        <v>0</v>
      </c>
      <c r="I627">
        <v>18</v>
      </c>
    </row>
    <row r="628" spans="1:9">
      <c r="A628" t="s">
        <v>1642</v>
      </c>
      <c r="B628" t="s">
        <v>1643</v>
      </c>
      <c r="C628" t="s">
        <v>63</v>
      </c>
      <c r="D628" t="s">
        <v>36</v>
      </c>
      <c r="E628" t="s">
        <v>42</v>
      </c>
      <c r="F628" t="s">
        <v>59</v>
      </c>
      <c r="G628" t="s">
        <v>17</v>
      </c>
      <c r="H628">
        <v>0</v>
      </c>
      <c r="I628">
        <v>17</v>
      </c>
    </row>
    <row r="629" spans="1:9">
      <c r="A629" t="s">
        <v>1644</v>
      </c>
      <c r="B629" t="s">
        <v>1645</v>
      </c>
      <c r="C629" t="s">
        <v>63</v>
      </c>
      <c r="D629" t="s">
        <v>14</v>
      </c>
      <c r="E629" t="s">
        <v>23</v>
      </c>
      <c r="F629" t="s">
        <v>1646</v>
      </c>
      <c r="G629" t="s">
        <v>38</v>
      </c>
      <c r="H629">
        <v>0</v>
      </c>
      <c r="I629">
        <v>17</v>
      </c>
    </row>
    <row r="630" spans="1:9">
      <c r="A630" t="s">
        <v>1647</v>
      </c>
      <c r="B630" t="s">
        <v>1648</v>
      </c>
      <c r="C630" t="s">
        <v>13</v>
      </c>
      <c r="D630" t="s">
        <v>58</v>
      </c>
      <c r="E630" t="s">
        <v>30</v>
      </c>
      <c r="F630" t="s">
        <v>1649</v>
      </c>
      <c r="G630" t="s">
        <v>75</v>
      </c>
      <c r="H630">
        <v>0</v>
      </c>
      <c r="I630">
        <v>29</v>
      </c>
    </row>
    <row r="631" spans="1:9">
      <c r="A631" t="s">
        <v>1650</v>
      </c>
      <c r="B631" t="s">
        <v>1651</v>
      </c>
      <c r="C631" t="s">
        <v>63</v>
      </c>
      <c r="D631" t="s">
        <v>22</v>
      </c>
      <c r="E631" t="s">
        <v>15</v>
      </c>
      <c r="F631" t="s">
        <v>885</v>
      </c>
      <c r="G631" t="s">
        <v>17</v>
      </c>
      <c r="H631">
        <v>0</v>
      </c>
      <c r="I631">
        <v>11</v>
      </c>
    </row>
    <row r="632" spans="1:9">
      <c r="A632" t="s">
        <v>1652</v>
      </c>
      <c r="B632" t="s">
        <v>1653</v>
      </c>
      <c r="C632" t="s">
        <v>35</v>
      </c>
      <c r="D632" t="s">
        <v>58</v>
      </c>
      <c r="E632" t="s">
        <v>23</v>
      </c>
      <c r="F632" t="s">
        <v>191</v>
      </c>
      <c r="G632" t="s">
        <v>17</v>
      </c>
      <c r="H632">
        <v>0</v>
      </c>
      <c r="I632">
        <v>2</v>
      </c>
    </row>
    <row r="633" spans="1:9">
      <c r="A633" t="s">
        <v>1654</v>
      </c>
      <c r="B633" t="s">
        <v>1655</v>
      </c>
      <c r="C633" t="s">
        <v>29</v>
      </c>
      <c r="D633" t="s">
        <v>36</v>
      </c>
      <c r="E633" t="s">
        <v>23</v>
      </c>
      <c r="F633" t="s">
        <v>1617</v>
      </c>
      <c r="G633" t="s">
        <v>54</v>
      </c>
      <c r="H633">
        <v>428204</v>
      </c>
      <c r="I633">
        <v>13</v>
      </c>
    </row>
    <row r="634" spans="1:9">
      <c r="A634" t="s">
        <v>1656</v>
      </c>
      <c r="B634" t="s">
        <v>1657</v>
      </c>
      <c r="C634" t="s">
        <v>47</v>
      </c>
      <c r="D634" t="s">
        <v>22</v>
      </c>
      <c r="E634" t="s">
        <v>42</v>
      </c>
      <c r="F634" t="s">
        <v>1658</v>
      </c>
      <c r="G634" t="s">
        <v>17</v>
      </c>
      <c r="H634">
        <v>0</v>
      </c>
      <c r="I634">
        <v>19</v>
      </c>
    </row>
    <row r="635" spans="1:9">
      <c r="A635" t="s">
        <v>1659</v>
      </c>
      <c r="B635" t="s">
        <v>1660</v>
      </c>
      <c r="C635" t="s">
        <v>29</v>
      </c>
      <c r="D635" t="s">
        <v>22</v>
      </c>
      <c r="E635" t="s">
        <v>73</v>
      </c>
      <c r="F635" t="s">
        <v>730</v>
      </c>
      <c r="G635" t="s">
        <v>49</v>
      </c>
      <c r="H635">
        <v>0</v>
      </c>
      <c r="I635">
        <v>4</v>
      </c>
    </row>
    <row r="636" spans="1:9">
      <c r="A636" t="s">
        <v>1661</v>
      </c>
      <c r="B636" t="s">
        <v>1662</v>
      </c>
      <c r="C636" t="s">
        <v>63</v>
      </c>
      <c r="D636" t="s">
        <v>36</v>
      </c>
      <c r="E636" t="s">
        <v>73</v>
      </c>
      <c r="F636" t="s">
        <v>182</v>
      </c>
      <c r="G636" t="s">
        <v>54</v>
      </c>
      <c r="H636">
        <v>214613</v>
      </c>
      <c r="I636">
        <v>21</v>
      </c>
    </row>
    <row r="637" spans="1:9">
      <c r="A637" t="s">
        <v>1663</v>
      </c>
      <c r="B637" t="s">
        <v>1664</v>
      </c>
      <c r="C637" t="s">
        <v>47</v>
      </c>
      <c r="D637" t="s">
        <v>22</v>
      </c>
      <c r="E637" t="s">
        <v>42</v>
      </c>
      <c r="F637" t="s">
        <v>24</v>
      </c>
      <c r="G637" t="s">
        <v>25</v>
      </c>
      <c r="H637">
        <v>0</v>
      </c>
      <c r="I637">
        <v>30</v>
      </c>
    </row>
    <row r="638" spans="1:9">
      <c r="A638" t="s">
        <v>1665</v>
      </c>
      <c r="B638" t="s">
        <v>1666</v>
      </c>
      <c r="C638" t="s">
        <v>21</v>
      </c>
      <c r="D638" t="s">
        <v>22</v>
      </c>
      <c r="E638" t="s">
        <v>42</v>
      </c>
      <c r="F638" t="s">
        <v>53</v>
      </c>
      <c r="G638" t="s">
        <v>54</v>
      </c>
      <c r="H638">
        <v>365002</v>
      </c>
      <c r="I638">
        <v>7</v>
      </c>
    </row>
    <row r="639" spans="1:9">
      <c r="A639" t="s">
        <v>1667</v>
      </c>
      <c r="B639" t="s">
        <v>1668</v>
      </c>
      <c r="C639" t="s">
        <v>21</v>
      </c>
      <c r="D639" t="s">
        <v>78</v>
      </c>
      <c r="E639" t="s">
        <v>15</v>
      </c>
      <c r="F639" t="s">
        <v>622</v>
      </c>
      <c r="G639" t="s">
        <v>75</v>
      </c>
      <c r="H639">
        <v>0</v>
      </c>
      <c r="I639">
        <v>18</v>
      </c>
    </row>
    <row r="640" spans="1:9">
      <c r="A640" t="s">
        <v>1669</v>
      </c>
      <c r="B640" t="s">
        <v>1670</v>
      </c>
      <c r="C640" t="s">
        <v>29</v>
      </c>
      <c r="D640" t="s">
        <v>22</v>
      </c>
      <c r="E640" t="s">
        <v>23</v>
      </c>
      <c r="F640" t="s">
        <v>1671</v>
      </c>
      <c r="G640" t="s">
        <v>49</v>
      </c>
      <c r="H640">
        <v>0</v>
      </c>
      <c r="I640">
        <v>3</v>
      </c>
    </row>
    <row r="641" spans="1:9">
      <c r="A641" t="s">
        <v>1672</v>
      </c>
      <c r="B641" t="s">
        <v>1673</v>
      </c>
      <c r="C641" t="s">
        <v>29</v>
      </c>
      <c r="D641" t="s">
        <v>36</v>
      </c>
      <c r="E641" t="s">
        <v>30</v>
      </c>
      <c r="F641" t="s">
        <v>249</v>
      </c>
      <c r="G641" t="s">
        <v>17</v>
      </c>
      <c r="H641">
        <v>0</v>
      </c>
      <c r="I641">
        <v>5</v>
      </c>
    </row>
    <row r="642" spans="1:9">
      <c r="A642" t="s">
        <v>1674</v>
      </c>
      <c r="B642" t="s">
        <v>1675</v>
      </c>
      <c r="C642" t="s">
        <v>47</v>
      </c>
      <c r="D642" t="s">
        <v>14</v>
      </c>
      <c r="E642" t="s">
        <v>30</v>
      </c>
      <c r="F642" t="s">
        <v>1676</v>
      </c>
      <c r="G642" t="s">
        <v>49</v>
      </c>
      <c r="H642">
        <v>0</v>
      </c>
      <c r="I642">
        <v>21</v>
      </c>
    </row>
    <row r="643" spans="1:9">
      <c r="A643" t="s">
        <v>1677</v>
      </c>
      <c r="B643" t="s">
        <v>1678</v>
      </c>
      <c r="C643" t="s">
        <v>63</v>
      </c>
      <c r="D643" t="s">
        <v>58</v>
      </c>
      <c r="E643" t="s">
        <v>30</v>
      </c>
      <c r="F643" t="s">
        <v>713</v>
      </c>
      <c r="G643" t="s">
        <v>49</v>
      </c>
      <c r="H643">
        <v>0</v>
      </c>
      <c r="I643">
        <v>4</v>
      </c>
    </row>
    <row r="644" spans="1:9">
      <c r="A644" t="s">
        <v>1679</v>
      </c>
      <c r="B644" t="s">
        <v>1680</v>
      </c>
      <c r="C644" t="s">
        <v>13</v>
      </c>
      <c r="D644" t="s">
        <v>78</v>
      </c>
      <c r="E644" t="s">
        <v>15</v>
      </c>
      <c r="F644" t="s">
        <v>96</v>
      </c>
      <c r="G644" t="s">
        <v>75</v>
      </c>
      <c r="H644">
        <v>0</v>
      </c>
      <c r="I644">
        <v>30</v>
      </c>
    </row>
    <row r="645" spans="1:9">
      <c r="A645" t="s">
        <v>1681</v>
      </c>
      <c r="B645" t="s">
        <v>1682</v>
      </c>
      <c r="C645" t="s">
        <v>21</v>
      </c>
      <c r="D645" t="s">
        <v>22</v>
      </c>
      <c r="E645" t="s">
        <v>30</v>
      </c>
      <c r="F645" t="s">
        <v>1402</v>
      </c>
      <c r="G645" t="s">
        <v>54</v>
      </c>
      <c r="H645">
        <v>428384</v>
      </c>
      <c r="I645">
        <v>29</v>
      </c>
    </row>
    <row r="646" spans="1:9">
      <c r="A646" t="s">
        <v>1683</v>
      </c>
      <c r="B646" t="s">
        <v>1684</v>
      </c>
      <c r="C646" t="s">
        <v>35</v>
      </c>
      <c r="D646" t="s">
        <v>14</v>
      </c>
      <c r="E646" t="s">
        <v>23</v>
      </c>
      <c r="F646" t="s">
        <v>879</v>
      </c>
      <c r="G646" t="s">
        <v>49</v>
      </c>
      <c r="H646">
        <v>0</v>
      </c>
      <c r="I646">
        <v>13</v>
      </c>
    </row>
    <row r="647" spans="1:9">
      <c r="A647" t="s">
        <v>1685</v>
      </c>
      <c r="B647" t="s">
        <v>1686</v>
      </c>
      <c r="C647" t="s">
        <v>47</v>
      </c>
      <c r="D647" t="s">
        <v>78</v>
      </c>
      <c r="E647" t="s">
        <v>42</v>
      </c>
      <c r="F647" t="s">
        <v>358</v>
      </c>
      <c r="G647" t="s">
        <v>49</v>
      </c>
      <c r="H647">
        <v>0</v>
      </c>
      <c r="I647">
        <v>22</v>
      </c>
    </row>
    <row r="648" spans="1:9">
      <c r="A648" t="s">
        <v>1687</v>
      </c>
      <c r="B648" t="s">
        <v>1688</v>
      </c>
      <c r="C648" t="s">
        <v>63</v>
      </c>
      <c r="D648" t="s">
        <v>36</v>
      </c>
      <c r="E648" t="s">
        <v>30</v>
      </c>
      <c r="F648" t="s">
        <v>1689</v>
      </c>
      <c r="G648" t="s">
        <v>25</v>
      </c>
      <c r="H648">
        <v>0</v>
      </c>
      <c r="I648">
        <v>2</v>
      </c>
    </row>
    <row r="649" spans="1:9">
      <c r="A649" t="s">
        <v>1690</v>
      </c>
      <c r="B649" t="s">
        <v>1691</v>
      </c>
      <c r="C649" t="s">
        <v>21</v>
      </c>
      <c r="D649" t="s">
        <v>36</v>
      </c>
      <c r="E649" t="s">
        <v>23</v>
      </c>
      <c r="F649" t="s">
        <v>860</v>
      </c>
      <c r="G649" t="s">
        <v>25</v>
      </c>
      <c r="H649">
        <v>0</v>
      </c>
      <c r="I649">
        <v>10</v>
      </c>
    </row>
    <row r="650" spans="1:9">
      <c r="A650" t="s">
        <v>1692</v>
      </c>
      <c r="B650" t="s">
        <v>1693</v>
      </c>
      <c r="C650" t="s">
        <v>21</v>
      </c>
      <c r="D650" t="s">
        <v>22</v>
      </c>
      <c r="E650" t="s">
        <v>30</v>
      </c>
      <c r="F650" t="s">
        <v>226</v>
      </c>
      <c r="G650" t="s">
        <v>54</v>
      </c>
      <c r="H650">
        <v>113893</v>
      </c>
      <c r="I650">
        <v>5</v>
      </c>
    </row>
    <row r="651" spans="1:9">
      <c r="A651" t="s">
        <v>1694</v>
      </c>
      <c r="B651" t="s">
        <v>1695</v>
      </c>
      <c r="C651" t="s">
        <v>47</v>
      </c>
      <c r="D651" t="s">
        <v>58</v>
      </c>
      <c r="E651" t="s">
        <v>23</v>
      </c>
      <c r="F651" t="s">
        <v>917</v>
      </c>
      <c r="G651" t="s">
        <v>38</v>
      </c>
      <c r="H651">
        <v>0</v>
      </c>
      <c r="I651">
        <v>29</v>
      </c>
    </row>
    <row r="652" spans="1:9">
      <c r="A652" t="s">
        <v>1696</v>
      </c>
      <c r="B652" t="s">
        <v>1697</v>
      </c>
      <c r="C652" t="s">
        <v>63</v>
      </c>
      <c r="D652" t="s">
        <v>58</v>
      </c>
      <c r="E652" t="s">
        <v>42</v>
      </c>
      <c r="F652" t="s">
        <v>500</v>
      </c>
      <c r="G652" t="s">
        <v>17</v>
      </c>
      <c r="H652">
        <v>0</v>
      </c>
      <c r="I652">
        <v>16</v>
      </c>
    </row>
    <row r="653" spans="1:9">
      <c r="A653" t="s">
        <v>1698</v>
      </c>
      <c r="B653" t="s">
        <v>1699</v>
      </c>
      <c r="C653" t="s">
        <v>29</v>
      </c>
      <c r="D653" t="s">
        <v>22</v>
      </c>
      <c r="E653" t="s">
        <v>73</v>
      </c>
      <c r="F653" t="s">
        <v>825</v>
      </c>
      <c r="G653" t="s">
        <v>75</v>
      </c>
      <c r="H653">
        <v>0</v>
      </c>
      <c r="I653">
        <v>24</v>
      </c>
    </row>
    <row r="654" spans="1:9">
      <c r="A654" t="s">
        <v>1700</v>
      </c>
      <c r="B654" t="s">
        <v>1701</v>
      </c>
      <c r="C654" t="s">
        <v>35</v>
      </c>
      <c r="D654" t="s">
        <v>36</v>
      </c>
      <c r="E654" t="s">
        <v>15</v>
      </c>
      <c r="F654" t="s">
        <v>616</v>
      </c>
      <c r="G654" t="s">
        <v>49</v>
      </c>
      <c r="H654">
        <v>0</v>
      </c>
      <c r="I654">
        <v>13</v>
      </c>
    </row>
    <row r="655" spans="1:9">
      <c r="A655" t="s">
        <v>1702</v>
      </c>
      <c r="B655" t="s">
        <v>1703</v>
      </c>
      <c r="C655" t="s">
        <v>29</v>
      </c>
      <c r="D655" t="s">
        <v>58</v>
      </c>
      <c r="E655" t="s">
        <v>15</v>
      </c>
      <c r="F655" t="s">
        <v>366</v>
      </c>
      <c r="G655" t="s">
        <v>75</v>
      </c>
      <c r="H655">
        <v>0</v>
      </c>
      <c r="I655">
        <v>7</v>
      </c>
    </row>
    <row r="656" spans="1:9">
      <c r="A656" t="s">
        <v>1704</v>
      </c>
      <c r="B656" t="s">
        <v>1705</v>
      </c>
      <c r="C656" t="s">
        <v>13</v>
      </c>
      <c r="D656" t="s">
        <v>36</v>
      </c>
      <c r="E656" t="s">
        <v>42</v>
      </c>
      <c r="F656" t="s">
        <v>925</v>
      </c>
      <c r="G656" t="s">
        <v>25</v>
      </c>
      <c r="H656">
        <v>0</v>
      </c>
      <c r="I656">
        <v>28</v>
      </c>
    </row>
    <row r="657" spans="1:9">
      <c r="A657" t="s">
        <v>1706</v>
      </c>
      <c r="B657" t="s">
        <v>1707</v>
      </c>
      <c r="C657" t="s">
        <v>63</v>
      </c>
      <c r="D657" t="s">
        <v>22</v>
      </c>
      <c r="E657" t="s">
        <v>23</v>
      </c>
      <c r="F657" t="s">
        <v>316</v>
      </c>
      <c r="G657" t="s">
        <v>54</v>
      </c>
      <c r="H657">
        <v>172728</v>
      </c>
      <c r="I657">
        <v>19</v>
      </c>
    </row>
    <row r="658" spans="1:9">
      <c r="A658" t="s">
        <v>1708</v>
      </c>
      <c r="B658" t="s">
        <v>1709</v>
      </c>
      <c r="C658" t="s">
        <v>47</v>
      </c>
      <c r="D658" t="s">
        <v>36</v>
      </c>
      <c r="E658" t="s">
        <v>15</v>
      </c>
      <c r="F658" t="s">
        <v>494</v>
      </c>
      <c r="G658" t="s">
        <v>38</v>
      </c>
      <c r="H658">
        <v>0</v>
      </c>
      <c r="I658">
        <v>4</v>
      </c>
    </row>
    <row r="659" spans="1:9">
      <c r="A659" t="s">
        <v>1710</v>
      </c>
      <c r="B659" t="s">
        <v>1711</v>
      </c>
      <c r="C659" t="s">
        <v>29</v>
      </c>
      <c r="D659" t="s">
        <v>58</v>
      </c>
      <c r="E659" t="s">
        <v>15</v>
      </c>
      <c r="F659" t="s">
        <v>710</v>
      </c>
      <c r="G659" t="s">
        <v>25</v>
      </c>
      <c r="H659">
        <v>0</v>
      </c>
      <c r="I659">
        <v>22</v>
      </c>
    </row>
    <row r="660" spans="1:9">
      <c r="A660" t="s">
        <v>1712</v>
      </c>
      <c r="B660" t="s">
        <v>1713</v>
      </c>
      <c r="C660" t="s">
        <v>35</v>
      </c>
      <c r="D660" t="s">
        <v>36</v>
      </c>
      <c r="E660" t="s">
        <v>15</v>
      </c>
      <c r="F660" t="s">
        <v>295</v>
      </c>
      <c r="G660" t="s">
        <v>25</v>
      </c>
      <c r="H660">
        <v>0</v>
      </c>
      <c r="I660">
        <v>13</v>
      </c>
    </row>
    <row r="661" spans="1:9">
      <c r="A661" t="s">
        <v>1714</v>
      </c>
      <c r="B661" t="s">
        <v>1715</v>
      </c>
      <c r="C661" t="s">
        <v>21</v>
      </c>
      <c r="D661" t="s">
        <v>78</v>
      </c>
      <c r="E661" t="s">
        <v>23</v>
      </c>
      <c r="F661" t="s">
        <v>888</v>
      </c>
      <c r="G661" t="s">
        <v>75</v>
      </c>
      <c r="H661">
        <v>0</v>
      </c>
      <c r="I661">
        <v>16</v>
      </c>
    </row>
    <row r="662" spans="1:9">
      <c r="A662" t="s">
        <v>1716</v>
      </c>
      <c r="B662" t="s">
        <v>1717</v>
      </c>
      <c r="C662" t="s">
        <v>13</v>
      </c>
      <c r="D662" t="s">
        <v>14</v>
      </c>
      <c r="E662" t="s">
        <v>15</v>
      </c>
      <c r="F662" t="s">
        <v>955</v>
      </c>
      <c r="G662" t="s">
        <v>75</v>
      </c>
      <c r="H662">
        <v>0</v>
      </c>
      <c r="I662">
        <v>3</v>
      </c>
    </row>
    <row r="663" spans="1:9">
      <c r="A663" t="s">
        <v>1718</v>
      </c>
      <c r="B663" t="s">
        <v>1719</v>
      </c>
      <c r="C663" t="s">
        <v>21</v>
      </c>
      <c r="D663" t="s">
        <v>58</v>
      </c>
      <c r="E663" t="s">
        <v>23</v>
      </c>
      <c r="F663" t="s">
        <v>1720</v>
      </c>
      <c r="G663" t="s">
        <v>38</v>
      </c>
      <c r="H663">
        <v>0</v>
      </c>
      <c r="I663">
        <v>16</v>
      </c>
    </row>
    <row r="664" spans="1:9">
      <c r="A664" t="s">
        <v>1721</v>
      </c>
      <c r="B664" t="s">
        <v>1722</v>
      </c>
      <c r="C664" t="s">
        <v>47</v>
      </c>
      <c r="D664" t="s">
        <v>22</v>
      </c>
      <c r="E664" t="s">
        <v>23</v>
      </c>
      <c r="F664" t="s">
        <v>108</v>
      </c>
      <c r="G664" t="s">
        <v>75</v>
      </c>
      <c r="H664">
        <v>0</v>
      </c>
      <c r="I664">
        <v>28</v>
      </c>
    </row>
    <row r="665" spans="1:9">
      <c r="A665" t="s">
        <v>1723</v>
      </c>
      <c r="B665" t="s">
        <v>1724</v>
      </c>
      <c r="C665" t="s">
        <v>63</v>
      </c>
      <c r="D665" t="s">
        <v>78</v>
      </c>
      <c r="E665" t="s">
        <v>15</v>
      </c>
      <c r="F665" t="s">
        <v>952</v>
      </c>
      <c r="G665" t="s">
        <v>17</v>
      </c>
      <c r="H665">
        <v>0</v>
      </c>
      <c r="I665">
        <v>25</v>
      </c>
    </row>
    <row r="666" spans="1:9">
      <c r="A666" t="s">
        <v>1725</v>
      </c>
      <c r="B666" t="s">
        <v>1726</v>
      </c>
      <c r="C666" t="s">
        <v>47</v>
      </c>
      <c r="D666" t="s">
        <v>78</v>
      </c>
      <c r="E666" t="s">
        <v>30</v>
      </c>
      <c r="F666" t="s">
        <v>879</v>
      </c>
      <c r="G666" t="s">
        <v>75</v>
      </c>
      <c r="H666">
        <v>0</v>
      </c>
      <c r="I666">
        <v>12</v>
      </c>
    </row>
    <row r="667" spans="1:9">
      <c r="A667" t="s">
        <v>1727</v>
      </c>
      <c r="B667" t="s">
        <v>1728</v>
      </c>
      <c r="C667" t="s">
        <v>13</v>
      </c>
      <c r="D667" t="s">
        <v>22</v>
      </c>
      <c r="E667" t="s">
        <v>15</v>
      </c>
      <c r="F667" t="s">
        <v>908</v>
      </c>
      <c r="G667" t="s">
        <v>75</v>
      </c>
      <c r="H667">
        <v>0</v>
      </c>
      <c r="I667">
        <v>3</v>
      </c>
    </row>
    <row r="668" spans="1:9">
      <c r="A668" t="s">
        <v>1729</v>
      </c>
      <c r="B668" t="s">
        <v>1730</v>
      </c>
      <c r="C668" t="s">
        <v>29</v>
      </c>
      <c r="D668" t="s">
        <v>36</v>
      </c>
      <c r="E668" t="s">
        <v>73</v>
      </c>
      <c r="F668" t="s">
        <v>1731</v>
      </c>
      <c r="G668" t="s">
        <v>49</v>
      </c>
      <c r="H668">
        <v>0</v>
      </c>
      <c r="I668">
        <v>12</v>
      </c>
    </row>
    <row r="669" spans="1:9">
      <c r="A669" t="s">
        <v>1732</v>
      </c>
      <c r="B669" t="s">
        <v>1733</v>
      </c>
      <c r="C669" t="s">
        <v>21</v>
      </c>
      <c r="D669" t="s">
        <v>78</v>
      </c>
      <c r="E669" t="s">
        <v>15</v>
      </c>
      <c r="F669" t="s">
        <v>53</v>
      </c>
      <c r="G669" t="s">
        <v>17</v>
      </c>
      <c r="H669">
        <v>0</v>
      </c>
      <c r="I669">
        <v>27</v>
      </c>
    </row>
    <row r="670" spans="1:9">
      <c r="A670" t="s">
        <v>1734</v>
      </c>
      <c r="B670" t="s">
        <v>1735</v>
      </c>
      <c r="C670" t="s">
        <v>21</v>
      </c>
      <c r="D670" t="s">
        <v>22</v>
      </c>
      <c r="E670" t="s">
        <v>23</v>
      </c>
      <c r="F670" t="s">
        <v>1736</v>
      </c>
      <c r="G670" t="s">
        <v>49</v>
      </c>
      <c r="H670">
        <v>0</v>
      </c>
      <c r="I670">
        <v>9</v>
      </c>
    </row>
    <row r="671" spans="1:9">
      <c r="A671" t="s">
        <v>1737</v>
      </c>
      <c r="B671" t="s">
        <v>1738</v>
      </c>
      <c r="C671" t="s">
        <v>47</v>
      </c>
      <c r="D671" t="s">
        <v>22</v>
      </c>
      <c r="E671" t="s">
        <v>42</v>
      </c>
      <c r="F671" t="s">
        <v>1020</v>
      </c>
      <c r="G671" t="s">
        <v>54</v>
      </c>
      <c r="H671">
        <v>214559</v>
      </c>
      <c r="I671">
        <v>10</v>
      </c>
    </row>
    <row r="672" spans="1:9">
      <c r="A672" t="s">
        <v>1739</v>
      </c>
      <c r="B672" t="s">
        <v>1740</v>
      </c>
      <c r="C672" t="s">
        <v>13</v>
      </c>
      <c r="D672" t="s">
        <v>58</v>
      </c>
      <c r="E672" t="s">
        <v>15</v>
      </c>
      <c r="F672" t="s">
        <v>1741</v>
      </c>
      <c r="G672" t="s">
        <v>25</v>
      </c>
      <c r="H672">
        <v>0</v>
      </c>
      <c r="I672">
        <v>16</v>
      </c>
    </row>
    <row r="673" spans="1:9">
      <c r="A673" t="s">
        <v>1742</v>
      </c>
      <c r="B673" t="s">
        <v>1743</v>
      </c>
      <c r="C673" t="s">
        <v>35</v>
      </c>
      <c r="D673" t="s">
        <v>14</v>
      </c>
      <c r="E673" t="s">
        <v>30</v>
      </c>
      <c r="F673" t="s">
        <v>1189</v>
      </c>
      <c r="G673" t="s">
        <v>75</v>
      </c>
      <c r="H673">
        <v>0</v>
      </c>
      <c r="I673">
        <v>2</v>
      </c>
    </row>
    <row r="674" spans="1:9">
      <c r="A674" t="s">
        <v>1744</v>
      </c>
      <c r="B674" t="s">
        <v>1745</v>
      </c>
      <c r="C674" t="s">
        <v>21</v>
      </c>
      <c r="D674" t="s">
        <v>14</v>
      </c>
      <c r="E674" t="s">
        <v>30</v>
      </c>
      <c r="F674" t="s">
        <v>1746</v>
      </c>
      <c r="G674" t="s">
        <v>49</v>
      </c>
      <c r="H674">
        <v>0</v>
      </c>
      <c r="I674">
        <v>28</v>
      </c>
    </row>
    <row r="675" spans="1:9">
      <c r="A675" t="s">
        <v>1747</v>
      </c>
      <c r="B675" t="s">
        <v>1748</v>
      </c>
      <c r="C675" t="s">
        <v>29</v>
      </c>
      <c r="D675" t="s">
        <v>36</v>
      </c>
      <c r="E675" t="s">
        <v>42</v>
      </c>
      <c r="F675" t="s">
        <v>1676</v>
      </c>
      <c r="G675" t="s">
        <v>54</v>
      </c>
      <c r="H675">
        <v>204715</v>
      </c>
      <c r="I675">
        <v>13</v>
      </c>
    </row>
    <row r="676" spans="1:9">
      <c r="A676" t="s">
        <v>1749</v>
      </c>
      <c r="B676" t="s">
        <v>1750</v>
      </c>
      <c r="C676" t="s">
        <v>35</v>
      </c>
      <c r="D676" t="s">
        <v>36</v>
      </c>
      <c r="E676" t="s">
        <v>15</v>
      </c>
      <c r="F676" t="s">
        <v>700</v>
      </c>
      <c r="G676" t="s">
        <v>17</v>
      </c>
      <c r="H676">
        <v>0</v>
      </c>
      <c r="I676">
        <v>19</v>
      </c>
    </row>
    <row r="677" spans="1:9">
      <c r="A677" t="s">
        <v>1751</v>
      </c>
      <c r="B677" t="s">
        <v>1752</v>
      </c>
      <c r="C677" t="s">
        <v>13</v>
      </c>
      <c r="D677" t="s">
        <v>78</v>
      </c>
      <c r="E677" t="s">
        <v>30</v>
      </c>
      <c r="F677" t="s">
        <v>1753</v>
      </c>
      <c r="G677" t="s">
        <v>75</v>
      </c>
      <c r="H677">
        <v>0</v>
      </c>
      <c r="I677">
        <v>15</v>
      </c>
    </row>
    <row r="678" spans="1:9">
      <c r="A678" t="s">
        <v>1754</v>
      </c>
      <c r="B678" t="s">
        <v>1755</v>
      </c>
      <c r="C678" t="s">
        <v>35</v>
      </c>
      <c r="D678" t="s">
        <v>58</v>
      </c>
      <c r="E678" t="s">
        <v>15</v>
      </c>
      <c r="F678" t="s">
        <v>96</v>
      </c>
      <c r="G678" t="s">
        <v>75</v>
      </c>
      <c r="H678">
        <v>0</v>
      </c>
      <c r="I678">
        <v>20</v>
      </c>
    </row>
    <row r="679" spans="1:9">
      <c r="A679" t="s">
        <v>1756</v>
      </c>
      <c r="B679" t="s">
        <v>1757</v>
      </c>
      <c r="C679" t="s">
        <v>13</v>
      </c>
      <c r="D679" t="s">
        <v>78</v>
      </c>
      <c r="E679" t="s">
        <v>42</v>
      </c>
      <c r="F679" t="s">
        <v>1758</v>
      </c>
      <c r="G679" t="s">
        <v>38</v>
      </c>
      <c r="H679">
        <v>0</v>
      </c>
      <c r="I679">
        <v>3</v>
      </c>
    </row>
    <row r="680" spans="1:9">
      <c r="A680" t="s">
        <v>1759</v>
      </c>
      <c r="B680" t="s">
        <v>1760</v>
      </c>
      <c r="C680" t="s">
        <v>21</v>
      </c>
      <c r="D680" t="s">
        <v>58</v>
      </c>
      <c r="E680" t="s">
        <v>23</v>
      </c>
      <c r="F680" t="s">
        <v>1761</v>
      </c>
      <c r="G680" t="s">
        <v>17</v>
      </c>
      <c r="H680">
        <v>0</v>
      </c>
      <c r="I680">
        <v>21</v>
      </c>
    </row>
    <row r="681" spans="1:9">
      <c r="A681" t="s">
        <v>1762</v>
      </c>
      <c r="B681" t="s">
        <v>1763</v>
      </c>
      <c r="C681" t="s">
        <v>29</v>
      </c>
      <c r="D681" t="s">
        <v>14</v>
      </c>
      <c r="E681" t="s">
        <v>23</v>
      </c>
      <c r="F681" t="s">
        <v>1764</v>
      </c>
      <c r="G681" t="s">
        <v>75</v>
      </c>
      <c r="H681">
        <v>0</v>
      </c>
      <c r="I681">
        <v>1</v>
      </c>
    </row>
    <row r="682" spans="1:9">
      <c r="A682" t="s">
        <v>1765</v>
      </c>
      <c r="B682" t="s">
        <v>1766</v>
      </c>
      <c r="C682" t="s">
        <v>35</v>
      </c>
      <c r="D682" t="s">
        <v>78</v>
      </c>
      <c r="E682" t="s">
        <v>73</v>
      </c>
      <c r="F682" t="s">
        <v>1767</v>
      </c>
      <c r="G682" t="s">
        <v>38</v>
      </c>
      <c r="H682">
        <v>0</v>
      </c>
      <c r="I682">
        <v>9</v>
      </c>
    </row>
    <row r="683" spans="1:9">
      <c r="A683" t="s">
        <v>1768</v>
      </c>
      <c r="B683" t="s">
        <v>1769</v>
      </c>
      <c r="C683" t="s">
        <v>35</v>
      </c>
      <c r="D683" t="s">
        <v>58</v>
      </c>
      <c r="E683" t="s">
        <v>42</v>
      </c>
      <c r="F683" t="s">
        <v>361</v>
      </c>
      <c r="G683" t="s">
        <v>38</v>
      </c>
      <c r="H683">
        <v>0</v>
      </c>
      <c r="I683">
        <v>15</v>
      </c>
    </row>
    <row r="684" spans="1:9">
      <c r="A684" t="s">
        <v>1770</v>
      </c>
      <c r="B684" t="s">
        <v>1771</v>
      </c>
      <c r="C684" t="s">
        <v>29</v>
      </c>
      <c r="D684" t="s">
        <v>14</v>
      </c>
      <c r="E684" t="s">
        <v>30</v>
      </c>
      <c r="F684" t="s">
        <v>992</v>
      </c>
      <c r="G684" t="s">
        <v>49</v>
      </c>
      <c r="H684">
        <v>0</v>
      </c>
      <c r="I684">
        <v>29</v>
      </c>
    </row>
    <row r="685" spans="1:9">
      <c r="A685" t="s">
        <v>1772</v>
      </c>
      <c r="B685" t="s">
        <v>1773</v>
      </c>
      <c r="C685" t="s">
        <v>21</v>
      </c>
      <c r="D685" t="s">
        <v>36</v>
      </c>
      <c r="E685" t="s">
        <v>42</v>
      </c>
      <c r="F685" t="s">
        <v>515</v>
      </c>
      <c r="G685" t="s">
        <v>25</v>
      </c>
      <c r="H685">
        <v>0</v>
      </c>
      <c r="I685">
        <v>2</v>
      </c>
    </row>
    <row r="686" spans="1:9">
      <c r="A686" t="s">
        <v>1774</v>
      </c>
      <c r="B686" t="s">
        <v>1775</v>
      </c>
      <c r="C686" t="s">
        <v>29</v>
      </c>
      <c r="D686" t="s">
        <v>36</v>
      </c>
      <c r="E686" t="s">
        <v>30</v>
      </c>
      <c r="F686" t="s">
        <v>1776</v>
      </c>
      <c r="G686" t="s">
        <v>25</v>
      </c>
      <c r="H686">
        <v>0</v>
      </c>
      <c r="I686">
        <v>8</v>
      </c>
    </row>
    <row r="687" spans="1:9">
      <c r="A687" t="s">
        <v>1777</v>
      </c>
      <c r="B687" t="s">
        <v>1778</v>
      </c>
      <c r="C687" t="s">
        <v>13</v>
      </c>
      <c r="D687" t="s">
        <v>36</v>
      </c>
      <c r="E687" t="s">
        <v>23</v>
      </c>
      <c r="F687" t="s">
        <v>1538</v>
      </c>
      <c r="G687" t="s">
        <v>17</v>
      </c>
      <c r="H687">
        <v>0</v>
      </c>
      <c r="I687">
        <v>14</v>
      </c>
    </row>
    <row r="688" spans="1:9">
      <c r="A688" t="s">
        <v>1779</v>
      </c>
      <c r="B688" t="s">
        <v>1780</v>
      </c>
      <c r="C688" t="s">
        <v>29</v>
      </c>
      <c r="D688" t="s">
        <v>14</v>
      </c>
      <c r="E688" t="s">
        <v>15</v>
      </c>
      <c r="F688" t="s">
        <v>1781</v>
      </c>
      <c r="G688" t="s">
        <v>17</v>
      </c>
      <c r="H688">
        <v>0</v>
      </c>
      <c r="I688">
        <v>6</v>
      </c>
    </row>
    <row r="689" spans="1:9">
      <c r="A689" t="s">
        <v>1782</v>
      </c>
      <c r="B689" t="s">
        <v>1783</v>
      </c>
      <c r="C689" t="s">
        <v>63</v>
      </c>
      <c r="D689" t="s">
        <v>78</v>
      </c>
      <c r="E689" t="s">
        <v>23</v>
      </c>
      <c r="F689" t="s">
        <v>1085</v>
      </c>
      <c r="G689" t="s">
        <v>54</v>
      </c>
      <c r="H689">
        <v>55131</v>
      </c>
      <c r="I689">
        <v>26</v>
      </c>
    </row>
    <row r="690" spans="1:9">
      <c r="A690" t="s">
        <v>1784</v>
      </c>
      <c r="B690" t="s">
        <v>1785</v>
      </c>
      <c r="C690" t="s">
        <v>21</v>
      </c>
      <c r="D690" t="s">
        <v>58</v>
      </c>
      <c r="E690" t="s">
        <v>42</v>
      </c>
      <c r="F690" t="s">
        <v>96</v>
      </c>
      <c r="G690" t="s">
        <v>54</v>
      </c>
      <c r="H690">
        <v>333949</v>
      </c>
      <c r="I690">
        <v>2</v>
      </c>
    </row>
    <row r="691" spans="1:9">
      <c r="A691" t="s">
        <v>1786</v>
      </c>
      <c r="B691" t="s">
        <v>1787</v>
      </c>
      <c r="C691" t="s">
        <v>29</v>
      </c>
      <c r="D691" t="s">
        <v>22</v>
      </c>
      <c r="E691" t="s">
        <v>73</v>
      </c>
      <c r="F691" t="s">
        <v>899</v>
      </c>
      <c r="G691" t="s">
        <v>75</v>
      </c>
      <c r="H691">
        <v>0</v>
      </c>
      <c r="I691">
        <v>24</v>
      </c>
    </row>
    <row r="692" spans="1:9">
      <c r="A692" t="s">
        <v>1788</v>
      </c>
      <c r="B692" t="s">
        <v>1789</v>
      </c>
      <c r="C692" t="s">
        <v>35</v>
      </c>
      <c r="D692" t="s">
        <v>14</v>
      </c>
      <c r="E692" t="s">
        <v>73</v>
      </c>
      <c r="F692" t="s">
        <v>1790</v>
      </c>
      <c r="G692" t="s">
        <v>49</v>
      </c>
      <c r="H692">
        <v>0</v>
      </c>
      <c r="I692">
        <v>9</v>
      </c>
    </row>
    <row r="693" spans="1:9">
      <c r="A693" t="s">
        <v>1791</v>
      </c>
      <c r="B693" t="s">
        <v>1792</v>
      </c>
      <c r="C693" t="s">
        <v>13</v>
      </c>
      <c r="D693" t="s">
        <v>36</v>
      </c>
      <c r="E693" t="s">
        <v>42</v>
      </c>
      <c r="F693" t="s">
        <v>677</v>
      </c>
      <c r="G693" t="s">
        <v>38</v>
      </c>
      <c r="H693">
        <v>0</v>
      </c>
      <c r="I693">
        <v>2</v>
      </c>
    </row>
    <row r="694" spans="1:9">
      <c r="A694" t="s">
        <v>1793</v>
      </c>
      <c r="B694" t="s">
        <v>1794</v>
      </c>
      <c r="C694" t="s">
        <v>29</v>
      </c>
      <c r="D694" t="s">
        <v>58</v>
      </c>
      <c r="E694" t="s">
        <v>42</v>
      </c>
      <c r="F694" t="s">
        <v>730</v>
      </c>
      <c r="G694" t="s">
        <v>25</v>
      </c>
      <c r="H694">
        <v>0</v>
      </c>
      <c r="I694">
        <v>28</v>
      </c>
    </row>
    <row r="695" spans="1:9">
      <c r="A695" t="s">
        <v>1795</v>
      </c>
      <c r="B695" t="s">
        <v>1796</v>
      </c>
      <c r="C695" t="s">
        <v>35</v>
      </c>
      <c r="D695" t="s">
        <v>14</v>
      </c>
      <c r="E695" t="s">
        <v>42</v>
      </c>
      <c r="F695" t="s">
        <v>1797</v>
      </c>
      <c r="G695" t="s">
        <v>17</v>
      </c>
      <c r="H695">
        <v>0</v>
      </c>
      <c r="I695">
        <v>19</v>
      </c>
    </row>
    <row r="696" spans="1:9">
      <c r="A696" t="s">
        <v>1798</v>
      </c>
      <c r="B696" t="s">
        <v>1799</v>
      </c>
      <c r="C696" t="s">
        <v>21</v>
      </c>
      <c r="D696" t="s">
        <v>78</v>
      </c>
      <c r="E696" t="s">
        <v>73</v>
      </c>
      <c r="F696" t="s">
        <v>568</v>
      </c>
      <c r="G696" t="s">
        <v>17</v>
      </c>
      <c r="H696">
        <v>0</v>
      </c>
      <c r="I696">
        <v>28</v>
      </c>
    </row>
    <row r="697" spans="1:9">
      <c r="A697" t="s">
        <v>1800</v>
      </c>
      <c r="B697" t="s">
        <v>1801</v>
      </c>
      <c r="C697" t="s">
        <v>29</v>
      </c>
      <c r="D697" t="s">
        <v>14</v>
      </c>
      <c r="E697" t="s">
        <v>15</v>
      </c>
      <c r="F697" t="s">
        <v>1753</v>
      </c>
      <c r="G697" t="s">
        <v>38</v>
      </c>
      <c r="H697">
        <v>0</v>
      </c>
      <c r="I697">
        <v>1</v>
      </c>
    </row>
    <row r="698" spans="1:9">
      <c r="A698" t="s">
        <v>1802</v>
      </c>
      <c r="B698" t="s">
        <v>1803</v>
      </c>
      <c r="C698" t="s">
        <v>47</v>
      </c>
      <c r="D698" t="s">
        <v>22</v>
      </c>
      <c r="E698" t="s">
        <v>30</v>
      </c>
      <c r="F698" t="s">
        <v>1804</v>
      </c>
      <c r="G698" t="s">
        <v>38</v>
      </c>
      <c r="H698">
        <v>0</v>
      </c>
      <c r="I698">
        <v>22</v>
      </c>
    </row>
    <row r="699" spans="1:9">
      <c r="A699" t="s">
        <v>1805</v>
      </c>
      <c r="B699" t="s">
        <v>1806</v>
      </c>
      <c r="C699" t="s">
        <v>21</v>
      </c>
      <c r="D699" t="s">
        <v>78</v>
      </c>
      <c r="E699" t="s">
        <v>42</v>
      </c>
      <c r="F699" t="s">
        <v>1131</v>
      </c>
      <c r="G699" t="s">
        <v>38</v>
      </c>
      <c r="H699">
        <v>0</v>
      </c>
      <c r="I699">
        <v>10</v>
      </c>
    </row>
    <row r="700" spans="1:9">
      <c r="A700" t="s">
        <v>1807</v>
      </c>
      <c r="B700" t="s">
        <v>1808</v>
      </c>
      <c r="C700" t="s">
        <v>35</v>
      </c>
      <c r="D700" t="s">
        <v>22</v>
      </c>
      <c r="E700" t="s">
        <v>30</v>
      </c>
      <c r="F700" t="s">
        <v>1147</v>
      </c>
      <c r="G700" t="s">
        <v>49</v>
      </c>
      <c r="H700">
        <v>0</v>
      </c>
      <c r="I700">
        <v>7</v>
      </c>
    </row>
    <row r="701" spans="1:9">
      <c r="A701" t="s">
        <v>1809</v>
      </c>
      <c r="B701" t="s">
        <v>1810</v>
      </c>
      <c r="C701" t="s">
        <v>35</v>
      </c>
      <c r="D701" t="s">
        <v>78</v>
      </c>
      <c r="E701" t="s">
        <v>15</v>
      </c>
      <c r="F701" t="s">
        <v>741</v>
      </c>
      <c r="G701" t="s">
        <v>49</v>
      </c>
      <c r="H701">
        <v>0</v>
      </c>
      <c r="I701">
        <v>17</v>
      </c>
    </row>
    <row r="702" spans="1:9">
      <c r="A702" t="s">
        <v>1811</v>
      </c>
      <c r="B702" t="s">
        <v>1812</v>
      </c>
      <c r="C702" t="s">
        <v>29</v>
      </c>
      <c r="D702" t="s">
        <v>58</v>
      </c>
      <c r="E702" t="s">
        <v>15</v>
      </c>
      <c r="F702" t="s">
        <v>1477</v>
      </c>
      <c r="G702" t="s">
        <v>17</v>
      </c>
      <c r="H702">
        <v>0</v>
      </c>
      <c r="I702">
        <v>21</v>
      </c>
    </row>
    <row r="703" spans="1:9">
      <c r="A703" t="s">
        <v>1813</v>
      </c>
      <c r="B703" t="s">
        <v>1814</v>
      </c>
      <c r="C703" t="s">
        <v>21</v>
      </c>
      <c r="D703" t="s">
        <v>36</v>
      </c>
      <c r="E703" t="s">
        <v>73</v>
      </c>
      <c r="F703" t="s">
        <v>170</v>
      </c>
      <c r="G703" t="s">
        <v>25</v>
      </c>
      <c r="H703">
        <v>0</v>
      </c>
      <c r="I703">
        <v>21</v>
      </c>
    </row>
    <row r="704" spans="1:9">
      <c r="A704" t="s">
        <v>1815</v>
      </c>
      <c r="B704" t="s">
        <v>1816</v>
      </c>
      <c r="C704" t="s">
        <v>47</v>
      </c>
      <c r="D704" t="s">
        <v>58</v>
      </c>
      <c r="E704" t="s">
        <v>15</v>
      </c>
      <c r="F704" t="s">
        <v>980</v>
      </c>
      <c r="G704" t="s">
        <v>54</v>
      </c>
      <c r="H704">
        <v>145234</v>
      </c>
      <c r="I704">
        <v>28</v>
      </c>
    </row>
    <row r="705" spans="1:9">
      <c r="A705" t="s">
        <v>1817</v>
      </c>
      <c r="B705" t="s">
        <v>1818</v>
      </c>
      <c r="C705" t="s">
        <v>35</v>
      </c>
      <c r="D705" t="s">
        <v>14</v>
      </c>
      <c r="E705" t="s">
        <v>23</v>
      </c>
      <c r="F705" t="s">
        <v>1278</v>
      </c>
      <c r="G705" t="s">
        <v>38</v>
      </c>
      <c r="H705">
        <v>0</v>
      </c>
      <c r="I705">
        <v>28</v>
      </c>
    </row>
    <row r="706" spans="1:9">
      <c r="A706" t="s">
        <v>1819</v>
      </c>
      <c r="B706" t="s">
        <v>1820</v>
      </c>
      <c r="C706" t="s">
        <v>35</v>
      </c>
      <c r="D706" t="s">
        <v>22</v>
      </c>
      <c r="E706" t="s">
        <v>15</v>
      </c>
      <c r="F706" t="s">
        <v>914</v>
      </c>
      <c r="G706" t="s">
        <v>75</v>
      </c>
      <c r="H706">
        <v>0</v>
      </c>
      <c r="I706">
        <v>15</v>
      </c>
    </row>
    <row r="707" spans="1:9">
      <c r="A707" t="s">
        <v>1821</v>
      </c>
      <c r="B707" t="s">
        <v>1822</v>
      </c>
      <c r="C707" t="s">
        <v>13</v>
      </c>
      <c r="D707" t="s">
        <v>36</v>
      </c>
      <c r="E707" t="s">
        <v>73</v>
      </c>
      <c r="F707" t="s">
        <v>472</v>
      </c>
      <c r="G707" t="s">
        <v>38</v>
      </c>
      <c r="H707">
        <v>0</v>
      </c>
      <c r="I707">
        <v>30</v>
      </c>
    </row>
    <row r="708" spans="1:9">
      <c r="A708" t="s">
        <v>1823</v>
      </c>
      <c r="B708" t="s">
        <v>1824</v>
      </c>
      <c r="C708" t="s">
        <v>29</v>
      </c>
      <c r="D708" t="s">
        <v>22</v>
      </c>
      <c r="E708" t="s">
        <v>30</v>
      </c>
      <c r="F708" t="s">
        <v>543</v>
      </c>
      <c r="G708" t="s">
        <v>54</v>
      </c>
      <c r="H708">
        <v>395076</v>
      </c>
      <c r="I708">
        <v>21</v>
      </c>
    </row>
    <row r="709" spans="1:9">
      <c r="A709" t="s">
        <v>1825</v>
      </c>
      <c r="B709" t="s">
        <v>1826</v>
      </c>
      <c r="C709" t="s">
        <v>13</v>
      </c>
      <c r="D709" t="s">
        <v>78</v>
      </c>
      <c r="E709" t="s">
        <v>30</v>
      </c>
      <c r="F709" t="s">
        <v>505</v>
      </c>
      <c r="G709" t="s">
        <v>17</v>
      </c>
      <c r="H709">
        <v>0</v>
      </c>
      <c r="I709">
        <v>28</v>
      </c>
    </row>
    <row r="710" spans="1:9">
      <c r="A710" t="s">
        <v>1827</v>
      </c>
      <c r="B710" t="s">
        <v>1828</v>
      </c>
      <c r="C710" t="s">
        <v>29</v>
      </c>
      <c r="D710" t="s">
        <v>58</v>
      </c>
      <c r="E710" t="s">
        <v>23</v>
      </c>
      <c r="F710" t="s">
        <v>1829</v>
      </c>
      <c r="G710" t="s">
        <v>49</v>
      </c>
      <c r="H710">
        <v>0</v>
      </c>
      <c r="I710">
        <v>27</v>
      </c>
    </row>
    <row r="711" spans="1:9">
      <c r="A711" t="s">
        <v>1830</v>
      </c>
      <c r="B711" t="s">
        <v>1831</v>
      </c>
      <c r="C711" t="s">
        <v>21</v>
      </c>
      <c r="D711" t="s">
        <v>78</v>
      </c>
      <c r="E711" t="s">
        <v>23</v>
      </c>
      <c r="F711" t="s">
        <v>1609</v>
      </c>
      <c r="G711" t="s">
        <v>75</v>
      </c>
      <c r="H711">
        <v>0</v>
      </c>
      <c r="I711">
        <v>14</v>
      </c>
    </row>
    <row r="712" spans="1:9">
      <c r="A712" t="s">
        <v>1832</v>
      </c>
      <c r="B712" t="s">
        <v>1833</v>
      </c>
      <c r="C712" t="s">
        <v>21</v>
      </c>
      <c r="D712" t="s">
        <v>36</v>
      </c>
      <c r="E712" t="s">
        <v>23</v>
      </c>
      <c r="F712" t="s">
        <v>727</v>
      </c>
      <c r="G712" t="s">
        <v>38</v>
      </c>
      <c r="H712">
        <v>0</v>
      </c>
      <c r="I712">
        <v>12</v>
      </c>
    </row>
    <row r="713" spans="1:9">
      <c r="A713" t="s">
        <v>1834</v>
      </c>
      <c r="B713" t="s">
        <v>1835</v>
      </c>
      <c r="C713" t="s">
        <v>47</v>
      </c>
      <c r="D713" t="s">
        <v>58</v>
      </c>
      <c r="E713" t="s">
        <v>73</v>
      </c>
      <c r="F713" t="s">
        <v>1115</v>
      </c>
      <c r="G713" t="s">
        <v>54</v>
      </c>
      <c r="H713">
        <v>251550</v>
      </c>
      <c r="I713">
        <v>15</v>
      </c>
    </row>
    <row r="714" spans="1:9">
      <c r="A714" t="s">
        <v>1836</v>
      </c>
      <c r="B714" t="s">
        <v>1837</v>
      </c>
      <c r="C714" t="s">
        <v>47</v>
      </c>
      <c r="D714" t="s">
        <v>22</v>
      </c>
      <c r="E714" t="s">
        <v>30</v>
      </c>
      <c r="F714" t="s">
        <v>117</v>
      </c>
      <c r="G714" t="s">
        <v>38</v>
      </c>
      <c r="H714">
        <v>0</v>
      </c>
      <c r="I714">
        <v>7</v>
      </c>
    </row>
    <row r="715" spans="1:9">
      <c r="A715" t="s">
        <v>1838</v>
      </c>
      <c r="B715" t="s">
        <v>1839</v>
      </c>
      <c r="C715" t="s">
        <v>13</v>
      </c>
      <c r="D715" t="s">
        <v>36</v>
      </c>
      <c r="E715" t="s">
        <v>15</v>
      </c>
      <c r="F715" t="s">
        <v>551</v>
      </c>
      <c r="G715" t="s">
        <v>75</v>
      </c>
      <c r="H715">
        <v>0</v>
      </c>
      <c r="I715">
        <v>6</v>
      </c>
    </row>
    <row r="716" spans="1:9">
      <c r="A716" t="s">
        <v>1840</v>
      </c>
      <c r="B716" t="s">
        <v>1841</v>
      </c>
      <c r="C716" t="s">
        <v>47</v>
      </c>
      <c r="D716" t="s">
        <v>78</v>
      </c>
      <c r="E716" t="s">
        <v>42</v>
      </c>
      <c r="F716" t="s">
        <v>796</v>
      </c>
      <c r="G716" t="s">
        <v>54</v>
      </c>
      <c r="H716">
        <v>20262</v>
      </c>
      <c r="I716">
        <v>30</v>
      </c>
    </row>
    <row r="717" spans="1:9">
      <c r="A717" t="s">
        <v>1842</v>
      </c>
      <c r="B717" t="s">
        <v>1843</v>
      </c>
      <c r="C717" t="s">
        <v>29</v>
      </c>
      <c r="D717" t="s">
        <v>22</v>
      </c>
      <c r="E717" t="s">
        <v>73</v>
      </c>
      <c r="F717" t="s">
        <v>1562</v>
      </c>
      <c r="G717" t="s">
        <v>38</v>
      </c>
      <c r="H717">
        <v>0</v>
      </c>
      <c r="I717">
        <v>2</v>
      </c>
    </row>
    <row r="718" spans="1:9">
      <c r="A718" t="s">
        <v>1844</v>
      </c>
      <c r="B718" t="s">
        <v>1845</v>
      </c>
      <c r="C718" t="s">
        <v>47</v>
      </c>
      <c r="D718" t="s">
        <v>58</v>
      </c>
      <c r="E718" t="s">
        <v>15</v>
      </c>
      <c r="F718" t="s">
        <v>765</v>
      </c>
      <c r="G718" t="s">
        <v>17</v>
      </c>
      <c r="H718">
        <v>0</v>
      </c>
      <c r="I718">
        <v>29</v>
      </c>
    </row>
    <row r="719" spans="1:9">
      <c r="A719" t="s">
        <v>1846</v>
      </c>
      <c r="B719" t="s">
        <v>1847</v>
      </c>
      <c r="C719" t="s">
        <v>21</v>
      </c>
      <c r="D719" t="s">
        <v>22</v>
      </c>
      <c r="E719" t="s">
        <v>30</v>
      </c>
      <c r="F719" t="s">
        <v>638</v>
      </c>
      <c r="G719" t="s">
        <v>17</v>
      </c>
      <c r="H719">
        <v>0</v>
      </c>
      <c r="I719">
        <v>22</v>
      </c>
    </row>
    <row r="720" spans="1:9">
      <c r="A720" t="s">
        <v>1848</v>
      </c>
      <c r="B720" t="s">
        <v>1849</v>
      </c>
      <c r="C720" t="s">
        <v>63</v>
      </c>
      <c r="D720" t="s">
        <v>36</v>
      </c>
      <c r="E720" t="s">
        <v>23</v>
      </c>
      <c r="F720" t="s">
        <v>1271</v>
      </c>
      <c r="G720" t="s">
        <v>75</v>
      </c>
      <c r="H720">
        <v>0</v>
      </c>
      <c r="I720">
        <v>13</v>
      </c>
    </row>
    <row r="721" spans="1:9">
      <c r="A721" t="s">
        <v>1850</v>
      </c>
      <c r="B721" t="s">
        <v>1851</v>
      </c>
      <c r="C721" t="s">
        <v>63</v>
      </c>
      <c r="D721" t="s">
        <v>78</v>
      </c>
      <c r="E721" t="s">
        <v>30</v>
      </c>
      <c r="F721" t="s">
        <v>1177</v>
      </c>
      <c r="G721" t="s">
        <v>17</v>
      </c>
      <c r="H721">
        <v>0</v>
      </c>
      <c r="I721">
        <v>19</v>
      </c>
    </row>
    <row r="722" spans="1:9">
      <c r="A722" t="s">
        <v>1852</v>
      </c>
      <c r="B722" t="s">
        <v>1853</v>
      </c>
      <c r="C722" t="s">
        <v>13</v>
      </c>
      <c r="D722" t="s">
        <v>58</v>
      </c>
      <c r="E722" t="s">
        <v>42</v>
      </c>
      <c r="F722" t="s">
        <v>882</v>
      </c>
      <c r="G722" t="s">
        <v>54</v>
      </c>
      <c r="H722">
        <v>411539</v>
      </c>
      <c r="I722">
        <v>28</v>
      </c>
    </row>
    <row r="723" spans="1:9">
      <c r="A723" t="s">
        <v>1854</v>
      </c>
      <c r="B723" t="s">
        <v>1855</v>
      </c>
      <c r="C723" t="s">
        <v>35</v>
      </c>
      <c r="D723" t="s">
        <v>58</v>
      </c>
      <c r="E723" t="s">
        <v>73</v>
      </c>
      <c r="F723" t="s">
        <v>170</v>
      </c>
      <c r="G723" t="s">
        <v>54</v>
      </c>
      <c r="H723">
        <v>138874</v>
      </c>
      <c r="I723">
        <v>18</v>
      </c>
    </row>
    <row r="724" spans="1:9">
      <c r="A724" t="s">
        <v>1856</v>
      </c>
      <c r="B724" t="s">
        <v>1857</v>
      </c>
      <c r="C724" t="s">
        <v>47</v>
      </c>
      <c r="D724" t="s">
        <v>78</v>
      </c>
      <c r="E724" t="s">
        <v>42</v>
      </c>
      <c r="F724" t="s">
        <v>1858</v>
      </c>
      <c r="G724" t="s">
        <v>75</v>
      </c>
      <c r="H724">
        <v>0</v>
      </c>
      <c r="I724">
        <v>6</v>
      </c>
    </row>
    <row r="725" spans="1:9">
      <c r="A725" t="s">
        <v>1859</v>
      </c>
      <c r="B725" t="s">
        <v>1860</v>
      </c>
      <c r="C725" t="s">
        <v>47</v>
      </c>
      <c r="D725" t="s">
        <v>22</v>
      </c>
      <c r="E725" t="s">
        <v>73</v>
      </c>
      <c r="F725" t="s">
        <v>1115</v>
      </c>
      <c r="G725" t="s">
        <v>17</v>
      </c>
      <c r="H725">
        <v>0</v>
      </c>
      <c r="I725">
        <v>19</v>
      </c>
    </row>
    <row r="726" spans="1:9">
      <c r="A726" t="s">
        <v>1861</v>
      </c>
      <c r="B726" t="s">
        <v>1862</v>
      </c>
      <c r="C726" t="s">
        <v>13</v>
      </c>
      <c r="D726" t="s">
        <v>58</v>
      </c>
      <c r="E726" t="s">
        <v>73</v>
      </c>
      <c r="F726" t="s">
        <v>586</v>
      </c>
      <c r="G726" t="s">
        <v>25</v>
      </c>
      <c r="H726">
        <v>0</v>
      </c>
      <c r="I726">
        <v>19</v>
      </c>
    </row>
    <row r="727" spans="1:9">
      <c r="A727" t="s">
        <v>1863</v>
      </c>
      <c r="B727" t="s">
        <v>1864</v>
      </c>
      <c r="C727" t="s">
        <v>35</v>
      </c>
      <c r="D727" t="s">
        <v>78</v>
      </c>
      <c r="E727" t="s">
        <v>15</v>
      </c>
      <c r="F727" t="s">
        <v>67</v>
      </c>
      <c r="G727" t="s">
        <v>54</v>
      </c>
      <c r="H727">
        <v>480310</v>
      </c>
      <c r="I727">
        <v>13</v>
      </c>
    </row>
    <row r="728" spans="1:9">
      <c r="A728" t="s">
        <v>1865</v>
      </c>
      <c r="B728" t="s">
        <v>1866</v>
      </c>
      <c r="C728" t="s">
        <v>47</v>
      </c>
      <c r="D728" t="s">
        <v>22</v>
      </c>
      <c r="E728" t="s">
        <v>73</v>
      </c>
      <c r="F728" t="s">
        <v>392</v>
      </c>
      <c r="G728" t="s">
        <v>17</v>
      </c>
      <c r="H728">
        <v>0</v>
      </c>
      <c r="I728">
        <v>9</v>
      </c>
    </row>
    <row r="729" spans="1:9">
      <c r="A729" t="s">
        <v>1867</v>
      </c>
      <c r="B729" t="s">
        <v>1868</v>
      </c>
      <c r="C729" t="s">
        <v>35</v>
      </c>
      <c r="D729" t="s">
        <v>36</v>
      </c>
      <c r="E729" t="s">
        <v>23</v>
      </c>
      <c r="F729" t="s">
        <v>1231</v>
      </c>
      <c r="G729" t="s">
        <v>54</v>
      </c>
      <c r="H729">
        <v>248668</v>
      </c>
      <c r="I729">
        <v>27</v>
      </c>
    </row>
    <row r="730" spans="1:9">
      <c r="A730" t="s">
        <v>1869</v>
      </c>
      <c r="B730" t="s">
        <v>1870</v>
      </c>
      <c r="C730" t="s">
        <v>29</v>
      </c>
      <c r="D730" t="s">
        <v>78</v>
      </c>
      <c r="E730" t="s">
        <v>30</v>
      </c>
      <c r="F730" t="s">
        <v>411</v>
      </c>
      <c r="G730" t="s">
        <v>25</v>
      </c>
      <c r="H730">
        <v>0</v>
      </c>
      <c r="I730">
        <v>9</v>
      </c>
    </row>
    <row r="731" spans="1:9">
      <c r="A731" t="s">
        <v>1871</v>
      </c>
      <c r="B731" t="s">
        <v>1872</v>
      </c>
      <c r="C731" t="s">
        <v>29</v>
      </c>
      <c r="D731" t="s">
        <v>78</v>
      </c>
      <c r="E731" t="s">
        <v>30</v>
      </c>
      <c r="F731" t="s">
        <v>395</v>
      </c>
      <c r="G731" t="s">
        <v>17</v>
      </c>
      <c r="H731">
        <v>0</v>
      </c>
      <c r="I731">
        <v>4</v>
      </c>
    </row>
    <row r="732" spans="1:9">
      <c r="A732" t="s">
        <v>1873</v>
      </c>
      <c r="B732" t="s">
        <v>1874</v>
      </c>
      <c r="C732" t="s">
        <v>29</v>
      </c>
      <c r="D732" t="s">
        <v>22</v>
      </c>
      <c r="E732" t="s">
        <v>30</v>
      </c>
      <c r="F732" t="s">
        <v>1761</v>
      </c>
      <c r="G732" t="s">
        <v>75</v>
      </c>
      <c r="H732">
        <v>0</v>
      </c>
      <c r="I732">
        <v>9</v>
      </c>
    </row>
    <row r="733" spans="1:9">
      <c r="A733" t="s">
        <v>1875</v>
      </c>
      <c r="B733" t="s">
        <v>1876</v>
      </c>
      <c r="C733" t="s">
        <v>21</v>
      </c>
      <c r="D733" t="s">
        <v>22</v>
      </c>
      <c r="E733" t="s">
        <v>30</v>
      </c>
      <c r="F733" t="s">
        <v>1877</v>
      </c>
      <c r="G733" t="s">
        <v>49</v>
      </c>
      <c r="H733">
        <v>0</v>
      </c>
      <c r="I733">
        <v>21</v>
      </c>
    </row>
    <row r="734" spans="1:9">
      <c r="A734" t="s">
        <v>1878</v>
      </c>
      <c r="B734" t="s">
        <v>1879</v>
      </c>
      <c r="C734" t="s">
        <v>21</v>
      </c>
      <c r="D734" t="s">
        <v>22</v>
      </c>
      <c r="E734" t="s">
        <v>15</v>
      </c>
      <c r="F734" t="s">
        <v>1123</v>
      </c>
      <c r="G734" t="s">
        <v>49</v>
      </c>
      <c r="H734">
        <v>0</v>
      </c>
      <c r="I734">
        <v>26</v>
      </c>
    </row>
    <row r="735" spans="1:9">
      <c r="A735" t="s">
        <v>1880</v>
      </c>
      <c r="B735" t="s">
        <v>1881</v>
      </c>
      <c r="C735" t="s">
        <v>21</v>
      </c>
      <c r="D735" t="s">
        <v>14</v>
      </c>
      <c r="E735" t="s">
        <v>73</v>
      </c>
      <c r="F735" t="s">
        <v>1882</v>
      </c>
      <c r="G735" t="s">
        <v>75</v>
      </c>
      <c r="H735">
        <v>0</v>
      </c>
      <c r="I735">
        <v>1</v>
      </c>
    </row>
    <row r="736" spans="1:9">
      <c r="A736" t="s">
        <v>1883</v>
      </c>
      <c r="B736" t="s">
        <v>1884</v>
      </c>
      <c r="C736" t="s">
        <v>21</v>
      </c>
      <c r="D736" t="s">
        <v>78</v>
      </c>
      <c r="E736" t="s">
        <v>42</v>
      </c>
      <c r="F736" t="s">
        <v>1609</v>
      </c>
      <c r="G736" t="s">
        <v>38</v>
      </c>
      <c r="H736">
        <v>0</v>
      </c>
      <c r="I736">
        <v>19</v>
      </c>
    </row>
    <row r="737" spans="1:9">
      <c r="A737" t="s">
        <v>1885</v>
      </c>
      <c r="B737" t="s">
        <v>1886</v>
      </c>
      <c r="C737" t="s">
        <v>13</v>
      </c>
      <c r="D737" t="s">
        <v>14</v>
      </c>
      <c r="E737" t="s">
        <v>73</v>
      </c>
      <c r="F737" t="s">
        <v>746</v>
      </c>
      <c r="G737" t="s">
        <v>17</v>
      </c>
      <c r="H737">
        <v>0</v>
      </c>
      <c r="I737">
        <v>28</v>
      </c>
    </row>
    <row r="738" spans="1:9">
      <c r="A738" t="s">
        <v>1887</v>
      </c>
      <c r="B738" t="s">
        <v>1888</v>
      </c>
      <c r="C738" t="s">
        <v>35</v>
      </c>
      <c r="D738" t="s">
        <v>14</v>
      </c>
      <c r="E738" t="s">
        <v>15</v>
      </c>
      <c r="F738" t="s">
        <v>1889</v>
      </c>
      <c r="G738" t="s">
        <v>17</v>
      </c>
      <c r="H738">
        <v>0</v>
      </c>
      <c r="I738">
        <v>6</v>
      </c>
    </row>
    <row r="739" spans="1:9">
      <c r="A739" t="s">
        <v>1890</v>
      </c>
      <c r="B739" t="s">
        <v>1891</v>
      </c>
      <c r="C739" t="s">
        <v>21</v>
      </c>
      <c r="D739" t="s">
        <v>22</v>
      </c>
      <c r="E739" t="s">
        <v>23</v>
      </c>
      <c r="F739" t="s">
        <v>622</v>
      </c>
      <c r="G739" t="s">
        <v>38</v>
      </c>
      <c r="H739">
        <v>0</v>
      </c>
      <c r="I739">
        <v>21</v>
      </c>
    </row>
    <row r="740" spans="1:9">
      <c r="A740" t="s">
        <v>1892</v>
      </c>
      <c r="B740" t="s">
        <v>1893</v>
      </c>
      <c r="C740" t="s">
        <v>63</v>
      </c>
      <c r="D740" t="s">
        <v>36</v>
      </c>
      <c r="E740" t="s">
        <v>73</v>
      </c>
      <c r="F740" t="s">
        <v>322</v>
      </c>
      <c r="G740" t="s">
        <v>38</v>
      </c>
      <c r="H740">
        <v>0</v>
      </c>
      <c r="I740">
        <v>15</v>
      </c>
    </row>
    <row r="741" spans="1:9">
      <c r="A741" t="s">
        <v>1894</v>
      </c>
      <c r="B741" t="s">
        <v>1895</v>
      </c>
      <c r="C741" t="s">
        <v>47</v>
      </c>
      <c r="D741" t="s">
        <v>36</v>
      </c>
      <c r="E741" t="s">
        <v>42</v>
      </c>
      <c r="F741" t="s">
        <v>1896</v>
      </c>
      <c r="G741" t="s">
        <v>54</v>
      </c>
      <c r="H741">
        <v>68452</v>
      </c>
      <c r="I741">
        <v>26</v>
      </c>
    </row>
    <row r="742" spans="1:9">
      <c r="A742" t="s">
        <v>1897</v>
      </c>
      <c r="B742" t="s">
        <v>1898</v>
      </c>
      <c r="C742" t="s">
        <v>35</v>
      </c>
      <c r="D742" t="s">
        <v>14</v>
      </c>
      <c r="E742" t="s">
        <v>30</v>
      </c>
      <c r="F742" t="s">
        <v>713</v>
      </c>
      <c r="G742" t="s">
        <v>49</v>
      </c>
      <c r="H742">
        <v>0</v>
      </c>
      <c r="I742">
        <v>30</v>
      </c>
    </row>
    <row r="743" spans="1:9">
      <c r="A743" t="s">
        <v>1899</v>
      </c>
      <c r="B743" t="s">
        <v>1900</v>
      </c>
      <c r="C743" t="s">
        <v>29</v>
      </c>
      <c r="D743" t="s">
        <v>58</v>
      </c>
      <c r="E743" t="s">
        <v>42</v>
      </c>
      <c r="F743" t="s">
        <v>660</v>
      </c>
      <c r="G743" t="s">
        <v>25</v>
      </c>
      <c r="H743">
        <v>0</v>
      </c>
      <c r="I743">
        <v>23</v>
      </c>
    </row>
    <row r="744" spans="1:9">
      <c r="A744" t="s">
        <v>1901</v>
      </c>
      <c r="B744" t="s">
        <v>1902</v>
      </c>
      <c r="C744" t="s">
        <v>21</v>
      </c>
      <c r="D744" t="s">
        <v>78</v>
      </c>
      <c r="E744" t="s">
        <v>73</v>
      </c>
      <c r="F744" t="s">
        <v>562</v>
      </c>
      <c r="G744" t="s">
        <v>54</v>
      </c>
      <c r="H744">
        <v>161341</v>
      </c>
      <c r="I744">
        <v>7</v>
      </c>
    </row>
    <row r="745" spans="1:9">
      <c r="A745" t="s">
        <v>1903</v>
      </c>
      <c r="B745" t="s">
        <v>1904</v>
      </c>
      <c r="C745" t="s">
        <v>47</v>
      </c>
      <c r="D745" t="s">
        <v>14</v>
      </c>
      <c r="E745" t="s">
        <v>42</v>
      </c>
      <c r="F745" t="s">
        <v>1764</v>
      </c>
      <c r="G745" t="s">
        <v>38</v>
      </c>
      <c r="H745">
        <v>0</v>
      </c>
      <c r="I745">
        <v>21</v>
      </c>
    </row>
    <row r="746" spans="1:9">
      <c r="A746" t="s">
        <v>1905</v>
      </c>
      <c r="B746" t="s">
        <v>1906</v>
      </c>
      <c r="C746" t="s">
        <v>47</v>
      </c>
      <c r="D746" t="s">
        <v>78</v>
      </c>
      <c r="E746" t="s">
        <v>42</v>
      </c>
      <c r="F746" t="s">
        <v>755</v>
      </c>
      <c r="G746" t="s">
        <v>17</v>
      </c>
      <c r="H746">
        <v>0</v>
      </c>
      <c r="I746">
        <v>12</v>
      </c>
    </row>
    <row r="747" spans="1:9">
      <c r="A747" t="s">
        <v>1907</v>
      </c>
      <c r="B747" t="s">
        <v>1908</v>
      </c>
      <c r="C747" t="s">
        <v>21</v>
      </c>
      <c r="D747" t="s">
        <v>36</v>
      </c>
      <c r="E747" t="s">
        <v>42</v>
      </c>
      <c r="F747" t="s">
        <v>325</v>
      </c>
      <c r="G747" t="s">
        <v>25</v>
      </c>
      <c r="H747">
        <v>0</v>
      </c>
      <c r="I747">
        <v>19</v>
      </c>
    </row>
    <row r="748" spans="1:9">
      <c r="A748" t="s">
        <v>1909</v>
      </c>
      <c r="B748" t="s">
        <v>1910</v>
      </c>
      <c r="C748" t="s">
        <v>29</v>
      </c>
      <c r="D748" t="s">
        <v>58</v>
      </c>
      <c r="E748" t="s">
        <v>42</v>
      </c>
      <c r="F748" t="s">
        <v>1911</v>
      </c>
      <c r="G748" t="s">
        <v>54</v>
      </c>
      <c r="H748">
        <v>190880</v>
      </c>
      <c r="I748">
        <v>5</v>
      </c>
    </row>
    <row r="749" spans="1:9">
      <c r="A749" t="s">
        <v>1912</v>
      </c>
      <c r="B749" t="s">
        <v>1913</v>
      </c>
      <c r="C749" t="s">
        <v>21</v>
      </c>
      <c r="D749" t="s">
        <v>14</v>
      </c>
      <c r="E749" t="s">
        <v>73</v>
      </c>
      <c r="F749" t="s">
        <v>1914</v>
      </c>
      <c r="G749" t="s">
        <v>38</v>
      </c>
      <c r="H749">
        <v>0</v>
      </c>
      <c r="I749">
        <v>15</v>
      </c>
    </row>
    <row r="750" spans="1:9">
      <c r="A750" t="s">
        <v>1915</v>
      </c>
      <c r="B750" t="s">
        <v>1916</v>
      </c>
      <c r="C750" t="s">
        <v>13</v>
      </c>
      <c r="D750" t="s">
        <v>36</v>
      </c>
      <c r="E750" t="s">
        <v>30</v>
      </c>
      <c r="F750" t="s">
        <v>194</v>
      </c>
      <c r="G750" t="s">
        <v>49</v>
      </c>
      <c r="H750">
        <v>0</v>
      </c>
      <c r="I750">
        <v>16</v>
      </c>
    </row>
    <row r="751" spans="1:9">
      <c r="A751" t="s">
        <v>1917</v>
      </c>
      <c r="B751" t="s">
        <v>1918</v>
      </c>
      <c r="C751" t="s">
        <v>13</v>
      </c>
      <c r="D751" t="s">
        <v>14</v>
      </c>
      <c r="E751" t="s">
        <v>42</v>
      </c>
      <c r="F751" t="s">
        <v>1194</v>
      </c>
      <c r="G751" t="s">
        <v>49</v>
      </c>
      <c r="H751">
        <v>0</v>
      </c>
      <c r="I751">
        <v>25</v>
      </c>
    </row>
    <row r="752" spans="1:9">
      <c r="A752" t="s">
        <v>1919</v>
      </c>
      <c r="B752" t="s">
        <v>1920</v>
      </c>
      <c r="C752" t="s">
        <v>13</v>
      </c>
      <c r="D752" t="s">
        <v>78</v>
      </c>
      <c r="E752" t="s">
        <v>42</v>
      </c>
      <c r="F752" t="s">
        <v>925</v>
      </c>
      <c r="G752" t="s">
        <v>17</v>
      </c>
      <c r="H752">
        <v>0</v>
      </c>
      <c r="I752">
        <v>29</v>
      </c>
    </row>
    <row r="753" spans="1:9">
      <c r="A753" t="s">
        <v>1921</v>
      </c>
      <c r="B753" t="s">
        <v>1922</v>
      </c>
      <c r="C753" t="s">
        <v>21</v>
      </c>
      <c r="D753" t="s">
        <v>22</v>
      </c>
      <c r="E753" t="s">
        <v>15</v>
      </c>
      <c r="F753" t="s">
        <v>1339</v>
      </c>
      <c r="G753" t="s">
        <v>38</v>
      </c>
      <c r="H753">
        <v>0</v>
      </c>
      <c r="I753">
        <v>1</v>
      </c>
    </row>
    <row r="754" spans="1:9">
      <c r="A754" t="s">
        <v>1923</v>
      </c>
      <c r="B754" t="s">
        <v>1924</v>
      </c>
      <c r="C754" t="s">
        <v>29</v>
      </c>
      <c r="D754" t="s">
        <v>14</v>
      </c>
      <c r="E754" t="s">
        <v>30</v>
      </c>
      <c r="F754" t="s">
        <v>671</v>
      </c>
      <c r="G754" t="s">
        <v>49</v>
      </c>
      <c r="H754">
        <v>0</v>
      </c>
      <c r="I754">
        <v>30</v>
      </c>
    </row>
    <row r="755" spans="1:9">
      <c r="A755" t="s">
        <v>1925</v>
      </c>
      <c r="B755" t="s">
        <v>1926</v>
      </c>
      <c r="C755" t="s">
        <v>29</v>
      </c>
      <c r="D755" t="s">
        <v>58</v>
      </c>
      <c r="E755" t="s">
        <v>23</v>
      </c>
      <c r="F755" t="s">
        <v>96</v>
      </c>
      <c r="G755" t="s">
        <v>17</v>
      </c>
      <c r="H755">
        <v>0</v>
      </c>
      <c r="I755">
        <v>24</v>
      </c>
    </row>
    <row r="756" spans="1:9">
      <c r="A756" t="s">
        <v>1927</v>
      </c>
      <c r="B756" t="s">
        <v>1928</v>
      </c>
      <c r="C756" t="s">
        <v>35</v>
      </c>
      <c r="D756" t="s">
        <v>36</v>
      </c>
      <c r="E756" t="s">
        <v>15</v>
      </c>
      <c r="F756" t="s">
        <v>1929</v>
      </c>
      <c r="G756" t="s">
        <v>54</v>
      </c>
      <c r="H756">
        <v>74745</v>
      </c>
      <c r="I756">
        <v>7</v>
      </c>
    </row>
    <row r="757" spans="1:9">
      <c r="A757" t="s">
        <v>1930</v>
      </c>
      <c r="B757" t="s">
        <v>1931</v>
      </c>
      <c r="C757" t="s">
        <v>21</v>
      </c>
      <c r="D757" t="s">
        <v>58</v>
      </c>
      <c r="E757" t="s">
        <v>30</v>
      </c>
      <c r="F757" t="s">
        <v>1932</v>
      </c>
      <c r="G757" t="s">
        <v>25</v>
      </c>
      <c r="H757">
        <v>0</v>
      </c>
      <c r="I757">
        <v>13</v>
      </c>
    </row>
    <row r="758" spans="1:9">
      <c r="A758" t="s">
        <v>1933</v>
      </c>
      <c r="B758" t="s">
        <v>1934</v>
      </c>
      <c r="C758" t="s">
        <v>35</v>
      </c>
      <c r="D758" t="s">
        <v>36</v>
      </c>
      <c r="E758" t="s">
        <v>15</v>
      </c>
      <c r="F758" t="s">
        <v>433</v>
      </c>
      <c r="G758" t="s">
        <v>17</v>
      </c>
      <c r="H758">
        <v>0</v>
      </c>
      <c r="I758">
        <v>10</v>
      </c>
    </row>
    <row r="759" spans="1:9">
      <c r="A759" t="s">
        <v>1935</v>
      </c>
      <c r="B759" t="s">
        <v>1936</v>
      </c>
      <c r="C759" t="s">
        <v>63</v>
      </c>
      <c r="D759" t="s">
        <v>58</v>
      </c>
      <c r="E759" t="s">
        <v>23</v>
      </c>
      <c r="F759" t="s">
        <v>1628</v>
      </c>
      <c r="G759" t="s">
        <v>25</v>
      </c>
      <c r="H759">
        <v>0</v>
      </c>
      <c r="I759">
        <v>10</v>
      </c>
    </row>
    <row r="760" spans="1:9">
      <c r="A760" t="s">
        <v>1937</v>
      </c>
      <c r="B760" t="s">
        <v>1938</v>
      </c>
      <c r="C760" t="s">
        <v>63</v>
      </c>
      <c r="D760" t="s">
        <v>14</v>
      </c>
      <c r="E760" t="s">
        <v>42</v>
      </c>
      <c r="F760" t="s">
        <v>1939</v>
      </c>
      <c r="G760" t="s">
        <v>54</v>
      </c>
      <c r="H760">
        <v>27936</v>
      </c>
      <c r="I760">
        <v>17</v>
      </c>
    </row>
    <row r="761" spans="1:9">
      <c r="A761" t="s">
        <v>1940</v>
      </c>
      <c r="B761" t="s">
        <v>1941</v>
      </c>
      <c r="C761" t="s">
        <v>47</v>
      </c>
      <c r="D761" t="s">
        <v>14</v>
      </c>
      <c r="E761" t="s">
        <v>23</v>
      </c>
      <c r="F761" t="s">
        <v>619</v>
      </c>
      <c r="G761" t="s">
        <v>25</v>
      </c>
      <c r="H761">
        <v>0</v>
      </c>
      <c r="I761">
        <v>27</v>
      </c>
    </row>
    <row r="762" spans="1:9">
      <c r="A762" t="s">
        <v>1942</v>
      </c>
      <c r="B762" t="s">
        <v>1943</v>
      </c>
      <c r="C762" t="s">
        <v>13</v>
      </c>
      <c r="D762" t="s">
        <v>58</v>
      </c>
      <c r="E762" t="s">
        <v>15</v>
      </c>
      <c r="F762" t="s">
        <v>1944</v>
      </c>
      <c r="G762" t="s">
        <v>25</v>
      </c>
      <c r="H762">
        <v>0</v>
      </c>
      <c r="I762">
        <v>1</v>
      </c>
    </row>
    <row r="763" spans="1:9">
      <c r="A763" t="s">
        <v>1945</v>
      </c>
      <c r="B763" t="s">
        <v>1946</v>
      </c>
      <c r="C763" t="s">
        <v>29</v>
      </c>
      <c r="D763" t="s">
        <v>14</v>
      </c>
      <c r="E763" t="s">
        <v>42</v>
      </c>
      <c r="F763" t="s">
        <v>1947</v>
      </c>
      <c r="G763" t="s">
        <v>17</v>
      </c>
      <c r="H763">
        <v>0</v>
      </c>
      <c r="I763">
        <v>27</v>
      </c>
    </row>
    <row r="764" spans="1:9">
      <c r="A764" t="s">
        <v>1948</v>
      </c>
      <c r="B764" t="s">
        <v>1949</v>
      </c>
      <c r="C764" t="s">
        <v>29</v>
      </c>
      <c r="D764" t="s">
        <v>22</v>
      </c>
      <c r="E764" t="s">
        <v>23</v>
      </c>
      <c r="F764" t="s">
        <v>1889</v>
      </c>
      <c r="G764" t="s">
        <v>17</v>
      </c>
      <c r="H764">
        <v>0</v>
      </c>
      <c r="I764">
        <v>19</v>
      </c>
    </row>
    <row r="765" spans="1:9">
      <c r="A765" t="s">
        <v>1950</v>
      </c>
      <c r="B765" t="s">
        <v>1951</v>
      </c>
      <c r="C765" t="s">
        <v>47</v>
      </c>
      <c r="D765" t="s">
        <v>58</v>
      </c>
      <c r="E765" t="s">
        <v>42</v>
      </c>
      <c r="F765" t="s">
        <v>1952</v>
      </c>
      <c r="G765" t="s">
        <v>75</v>
      </c>
      <c r="H765">
        <v>0</v>
      </c>
      <c r="I765">
        <v>4</v>
      </c>
    </row>
    <row r="766" spans="1:9">
      <c r="A766" t="s">
        <v>1953</v>
      </c>
      <c r="B766" t="s">
        <v>1954</v>
      </c>
      <c r="C766" t="s">
        <v>29</v>
      </c>
      <c r="D766" t="s">
        <v>78</v>
      </c>
      <c r="E766" t="s">
        <v>42</v>
      </c>
      <c r="F766" t="s">
        <v>1764</v>
      </c>
      <c r="G766" t="s">
        <v>75</v>
      </c>
      <c r="H766">
        <v>0</v>
      </c>
      <c r="I766">
        <v>22</v>
      </c>
    </row>
    <row r="767" spans="1:9">
      <c r="A767" t="s">
        <v>1955</v>
      </c>
      <c r="B767" t="s">
        <v>1956</v>
      </c>
      <c r="C767" t="s">
        <v>21</v>
      </c>
      <c r="D767" t="s">
        <v>78</v>
      </c>
      <c r="E767" t="s">
        <v>42</v>
      </c>
      <c r="F767" t="s">
        <v>1339</v>
      </c>
      <c r="G767" t="s">
        <v>49</v>
      </c>
      <c r="H767">
        <v>0</v>
      </c>
      <c r="I767">
        <v>12</v>
      </c>
    </row>
    <row r="768" spans="1:9">
      <c r="A768" t="s">
        <v>1957</v>
      </c>
      <c r="B768" t="s">
        <v>1958</v>
      </c>
      <c r="C768" t="s">
        <v>29</v>
      </c>
      <c r="D768" t="s">
        <v>14</v>
      </c>
      <c r="E768" t="s">
        <v>42</v>
      </c>
      <c r="F768" t="s">
        <v>392</v>
      </c>
      <c r="G768" t="s">
        <v>54</v>
      </c>
      <c r="H768">
        <v>131403</v>
      </c>
      <c r="I768">
        <v>29</v>
      </c>
    </row>
    <row r="769" spans="1:9">
      <c r="A769" t="s">
        <v>1959</v>
      </c>
      <c r="B769" t="s">
        <v>1960</v>
      </c>
      <c r="C769" t="s">
        <v>29</v>
      </c>
      <c r="D769" t="s">
        <v>78</v>
      </c>
      <c r="E769" t="s">
        <v>23</v>
      </c>
      <c r="F769" t="s">
        <v>1961</v>
      </c>
      <c r="G769" t="s">
        <v>75</v>
      </c>
      <c r="H769">
        <v>0</v>
      </c>
      <c r="I769">
        <v>18</v>
      </c>
    </row>
    <row r="770" spans="1:9">
      <c r="A770" t="s">
        <v>1962</v>
      </c>
      <c r="B770" t="s">
        <v>1963</v>
      </c>
      <c r="C770" t="s">
        <v>63</v>
      </c>
      <c r="D770" t="s">
        <v>36</v>
      </c>
      <c r="E770" t="s">
        <v>30</v>
      </c>
      <c r="F770" t="s">
        <v>1964</v>
      </c>
      <c r="G770" t="s">
        <v>17</v>
      </c>
      <c r="H770">
        <v>0</v>
      </c>
      <c r="I770">
        <v>13</v>
      </c>
    </row>
    <row r="771" spans="1:9">
      <c r="A771" t="s">
        <v>1965</v>
      </c>
      <c r="B771" t="s">
        <v>1966</v>
      </c>
      <c r="C771" t="s">
        <v>63</v>
      </c>
      <c r="D771" t="s">
        <v>22</v>
      </c>
      <c r="E771" t="s">
        <v>73</v>
      </c>
      <c r="F771" t="s">
        <v>559</v>
      </c>
      <c r="G771" t="s">
        <v>49</v>
      </c>
      <c r="H771">
        <v>0</v>
      </c>
      <c r="I771">
        <v>26</v>
      </c>
    </row>
    <row r="772" spans="1:9">
      <c r="A772" t="s">
        <v>1967</v>
      </c>
      <c r="B772" t="s">
        <v>1968</v>
      </c>
      <c r="C772" t="s">
        <v>13</v>
      </c>
      <c r="D772" t="s">
        <v>36</v>
      </c>
      <c r="E772" t="s">
        <v>30</v>
      </c>
      <c r="F772" t="s">
        <v>668</v>
      </c>
      <c r="G772" t="s">
        <v>38</v>
      </c>
      <c r="H772">
        <v>0</v>
      </c>
      <c r="I772">
        <v>29</v>
      </c>
    </row>
    <row r="773" spans="1:9">
      <c r="A773" t="s">
        <v>1969</v>
      </c>
      <c r="B773" t="s">
        <v>1970</v>
      </c>
      <c r="C773" t="s">
        <v>13</v>
      </c>
      <c r="D773" t="s">
        <v>14</v>
      </c>
      <c r="E773" t="s">
        <v>30</v>
      </c>
      <c r="F773" t="s">
        <v>902</v>
      </c>
      <c r="G773" t="s">
        <v>25</v>
      </c>
      <c r="H773">
        <v>0</v>
      </c>
      <c r="I773">
        <v>12</v>
      </c>
    </row>
    <row r="774" spans="1:9">
      <c r="A774" t="s">
        <v>1971</v>
      </c>
      <c r="B774" t="s">
        <v>1972</v>
      </c>
      <c r="C774" t="s">
        <v>35</v>
      </c>
      <c r="D774" t="s">
        <v>36</v>
      </c>
      <c r="E774" t="s">
        <v>15</v>
      </c>
      <c r="F774" t="s">
        <v>660</v>
      </c>
      <c r="G774" t="s">
        <v>75</v>
      </c>
      <c r="H774">
        <v>0</v>
      </c>
      <c r="I774">
        <v>26</v>
      </c>
    </row>
    <row r="775" spans="1:9">
      <c r="A775" t="s">
        <v>1973</v>
      </c>
      <c r="B775" t="s">
        <v>1974</v>
      </c>
      <c r="C775" t="s">
        <v>35</v>
      </c>
      <c r="D775" t="s">
        <v>22</v>
      </c>
      <c r="E775" t="s">
        <v>30</v>
      </c>
      <c r="F775" t="s">
        <v>700</v>
      </c>
      <c r="G775" t="s">
        <v>25</v>
      </c>
      <c r="H775">
        <v>0</v>
      </c>
      <c r="I775">
        <v>29</v>
      </c>
    </row>
    <row r="776" spans="1:9">
      <c r="A776" t="s">
        <v>1975</v>
      </c>
      <c r="B776" t="s">
        <v>1976</v>
      </c>
      <c r="C776" t="s">
        <v>63</v>
      </c>
      <c r="D776" t="s">
        <v>58</v>
      </c>
      <c r="E776" t="s">
        <v>23</v>
      </c>
      <c r="F776" t="s">
        <v>1562</v>
      </c>
      <c r="G776" t="s">
        <v>49</v>
      </c>
      <c r="H776">
        <v>0</v>
      </c>
      <c r="I776">
        <v>8</v>
      </c>
    </row>
    <row r="777" spans="1:9">
      <c r="A777" t="s">
        <v>1977</v>
      </c>
      <c r="B777" t="s">
        <v>1978</v>
      </c>
      <c r="C777" t="s">
        <v>47</v>
      </c>
      <c r="D777" t="s">
        <v>22</v>
      </c>
      <c r="E777" t="s">
        <v>23</v>
      </c>
      <c r="F777" t="s">
        <v>343</v>
      </c>
      <c r="G777" t="s">
        <v>17</v>
      </c>
      <c r="H777">
        <v>0</v>
      </c>
      <c r="I777">
        <v>13</v>
      </c>
    </row>
    <row r="778" spans="1:9">
      <c r="A778" t="s">
        <v>1979</v>
      </c>
      <c r="B778" t="s">
        <v>1980</v>
      </c>
      <c r="C778" t="s">
        <v>35</v>
      </c>
      <c r="D778" t="s">
        <v>22</v>
      </c>
      <c r="E778" t="s">
        <v>42</v>
      </c>
      <c r="F778" t="s">
        <v>284</v>
      </c>
      <c r="G778" t="s">
        <v>54</v>
      </c>
      <c r="H778">
        <v>32850</v>
      </c>
      <c r="I778">
        <v>22</v>
      </c>
    </row>
    <row r="779" spans="1:9">
      <c r="A779" t="s">
        <v>1981</v>
      </c>
      <c r="B779" t="s">
        <v>1982</v>
      </c>
      <c r="C779" t="s">
        <v>63</v>
      </c>
      <c r="D779" t="s">
        <v>78</v>
      </c>
      <c r="E779" t="s">
        <v>15</v>
      </c>
      <c r="F779" t="s">
        <v>497</v>
      </c>
      <c r="G779" t="s">
        <v>38</v>
      </c>
      <c r="H779">
        <v>0</v>
      </c>
      <c r="I779">
        <v>30</v>
      </c>
    </row>
    <row r="780" spans="1:9">
      <c r="A780" t="s">
        <v>1983</v>
      </c>
      <c r="B780" t="s">
        <v>1984</v>
      </c>
      <c r="C780" t="s">
        <v>35</v>
      </c>
      <c r="D780" t="s">
        <v>58</v>
      </c>
      <c r="E780" t="s">
        <v>42</v>
      </c>
      <c r="F780" t="s">
        <v>1985</v>
      </c>
      <c r="G780" t="s">
        <v>75</v>
      </c>
      <c r="H780">
        <v>0</v>
      </c>
      <c r="I780">
        <v>10</v>
      </c>
    </row>
    <row r="781" spans="1:9">
      <c r="A781" t="s">
        <v>1986</v>
      </c>
      <c r="B781" t="s">
        <v>1987</v>
      </c>
      <c r="C781" t="s">
        <v>21</v>
      </c>
      <c r="D781" t="s">
        <v>22</v>
      </c>
      <c r="E781" t="s">
        <v>30</v>
      </c>
      <c r="F781" t="s">
        <v>1988</v>
      </c>
      <c r="G781" t="s">
        <v>17</v>
      </c>
      <c r="H781">
        <v>0</v>
      </c>
      <c r="I781">
        <v>25</v>
      </c>
    </row>
    <row r="782" spans="1:9">
      <c r="A782" t="s">
        <v>1989</v>
      </c>
      <c r="B782" t="s">
        <v>1990</v>
      </c>
      <c r="C782" t="s">
        <v>13</v>
      </c>
      <c r="D782" t="s">
        <v>58</v>
      </c>
      <c r="E782" t="s">
        <v>30</v>
      </c>
      <c r="F782" t="s">
        <v>1991</v>
      </c>
      <c r="G782" t="s">
        <v>75</v>
      </c>
      <c r="H782">
        <v>0</v>
      </c>
      <c r="I782">
        <v>22</v>
      </c>
    </row>
    <row r="783" spans="1:9">
      <c r="A783" t="s">
        <v>1992</v>
      </c>
      <c r="B783" t="s">
        <v>1993</v>
      </c>
      <c r="C783" t="s">
        <v>47</v>
      </c>
      <c r="D783" t="s">
        <v>58</v>
      </c>
      <c r="E783" t="s">
        <v>23</v>
      </c>
      <c r="F783" t="s">
        <v>721</v>
      </c>
      <c r="G783" t="s">
        <v>38</v>
      </c>
      <c r="H783">
        <v>0</v>
      </c>
      <c r="I783">
        <v>16</v>
      </c>
    </row>
    <row r="784" spans="1:9">
      <c r="A784" t="s">
        <v>1994</v>
      </c>
      <c r="B784" t="s">
        <v>1995</v>
      </c>
      <c r="C784" t="s">
        <v>63</v>
      </c>
      <c r="D784" t="s">
        <v>58</v>
      </c>
      <c r="E784" t="s">
        <v>73</v>
      </c>
      <c r="F784" t="s">
        <v>270</v>
      </c>
      <c r="G784" t="s">
        <v>17</v>
      </c>
      <c r="H784">
        <v>0</v>
      </c>
      <c r="I784">
        <v>25</v>
      </c>
    </row>
    <row r="785" spans="1:9">
      <c r="A785" t="s">
        <v>1996</v>
      </c>
      <c r="B785" t="s">
        <v>1997</v>
      </c>
      <c r="C785" t="s">
        <v>13</v>
      </c>
      <c r="D785" t="s">
        <v>36</v>
      </c>
      <c r="E785" t="s">
        <v>42</v>
      </c>
      <c r="F785" t="s">
        <v>1858</v>
      </c>
      <c r="G785" t="s">
        <v>54</v>
      </c>
      <c r="H785">
        <v>248188</v>
      </c>
      <c r="I785">
        <v>17</v>
      </c>
    </row>
    <row r="786" spans="1:9">
      <c r="A786" t="s">
        <v>1998</v>
      </c>
      <c r="B786" t="s">
        <v>1999</v>
      </c>
      <c r="C786" t="s">
        <v>47</v>
      </c>
      <c r="D786" t="s">
        <v>78</v>
      </c>
      <c r="E786" t="s">
        <v>30</v>
      </c>
      <c r="F786" t="s">
        <v>1157</v>
      </c>
      <c r="G786" t="s">
        <v>75</v>
      </c>
      <c r="H786">
        <v>0</v>
      </c>
      <c r="I786">
        <v>20</v>
      </c>
    </row>
    <row r="787" spans="1:9">
      <c r="A787" t="s">
        <v>2000</v>
      </c>
      <c r="B787" t="s">
        <v>2001</v>
      </c>
      <c r="C787" t="s">
        <v>13</v>
      </c>
      <c r="D787" t="s">
        <v>58</v>
      </c>
      <c r="E787" t="s">
        <v>23</v>
      </c>
      <c r="F787" t="s">
        <v>992</v>
      </c>
      <c r="G787" t="s">
        <v>25</v>
      </c>
      <c r="H787">
        <v>0</v>
      </c>
      <c r="I787">
        <v>29</v>
      </c>
    </row>
    <row r="788" spans="1:9">
      <c r="A788" t="s">
        <v>2002</v>
      </c>
      <c r="B788" t="s">
        <v>2003</v>
      </c>
      <c r="C788" t="s">
        <v>35</v>
      </c>
      <c r="D788" t="s">
        <v>14</v>
      </c>
      <c r="E788" t="s">
        <v>42</v>
      </c>
      <c r="F788" t="s">
        <v>2004</v>
      </c>
      <c r="G788" t="s">
        <v>38</v>
      </c>
      <c r="H788">
        <v>0</v>
      </c>
      <c r="I788">
        <v>17</v>
      </c>
    </row>
    <row r="789" spans="1:9">
      <c r="A789" t="s">
        <v>2005</v>
      </c>
      <c r="B789" t="s">
        <v>2006</v>
      </c>
      <c r="C789" t="s">
        <v>35</v>
      </c>
      <c r="D789" t="s">
        <v>78</v>
      </c>
      <c r="E789" t="s">
        <v>23</v>
      </c>
      <c r="F789" t="s">
        <v>2007</v>
      </c>
      <c r="G789" t="s">
        <v>38</v>
      </c>
      <c r="H789">
        <v>0</v>
      </c>
      <c r="I789">
        <v>6</v>
      </c>
    </row>
    <row r="790" spans="1:9">
      <c r="A790" t="s">
        <v>2008</v>
      </c>
      <c r="B790" t="s">
        <v>2009</v>
      </c>
      <c r="C790" t="s">
        <v>21</v>
      </c>
      <c r="D790" t="s">
        <v>58</v>
      </c>
      <c r="E790" t="s">
        <v>23</v>
      </c>
      <c r="F790" t="s">
        <v>611</v>
      </c>
      <c r="G790" t="s">
        <v>17</v>
      </c>
      <c r="H790">
        <v>0</v>
      </c>
      <c r="I790">
        <v>15</v>
      </c>
    </row>
    <row r="791" spans="1:9">
      <c r="A791" t="s">
        <v>2010</v>
      </c>
      <c r="B791" t="s">
        <v>2011</v>
      </c>
      <c r="C791" t="s">
        <v>13</v>
      </c>
      <c r="D791" t="s">
        <v>14</v>
      </c>
      <c r="E791" t="s">
        <v>42</v>
      </c>
      <c r="F791" t="s">
        <v>308</v>
      </c>
      <c r="G791" t="s">
        <v>25</v>
      </c>
      <c r="H791">
        <v>0</v>
      </c>
      <c r="I791">
        <v>26</v>
      </c>
    </row>
    <row r="792" spans="1:9">
      <c r="A792" t="s">
        <v>2012</v>
      </c>
      <c r="B792" t="s">
        <v>2013</v>
      </c>
      <c r="C792" t="s">
        <v>35</v>
      </c>
      <c r="D792" t="s">
        <v>14</v>
      </c>
      <c r="E792" t="s">
        <v>15</v>
      </c>
      <c r="F792" t="s">
        <v>389</v>
      </c>
      <c r="G792" t="s">
        <v>49</v>
      </c>
      <c r="H792">
        <v>0</v>
      </c>
      <c r="I792">
        <v>10</v>
      </c>
    </row>
    <row r="793" spans="1:9">
      <c r="A793" t="s">
        <v>2014</v>
      </c>
      <c r="B793" t="s">
        <v>2015</v>
      </c>
      <c r="C793" t="s">
        <v>35</v>
      </c>
      <c r="D793" t="s">
        <v>58</v>
      </c>
      <c r="E793" t="s">
        <v>15</v>
      </c>
      <c r="F793" t="s">
        <v>135</v>
      </c>
      <c r="G793" t="s">
        <v>49</v>
      </c>
      <c r="H793">
        <v>0</v>
      </c>
      <c r="I793">
        <v>17</v>
      </c>
    </row>
    <row r="794" spans="1:9">
      <c r="A794" t="s">
        <v>2016</v>
      </c>
      <c r="B794" t="s">
        <v>2017</v>
      </c>
      <c r="C794" t="s">
        <v>29</v>
      </c>
      <c r="D794" t="s">
        <v>22</v>
      </c>
      <c r="E794" t="s">
        <v>30</v>
      </c>
      <c r="F794" t="s">
        <v>2018</v>
      </c>
      <c r="G794" t="s">
        <v>75</v>
      </c>
      <c r="H794">
        <v>0</v>
      </c>
      <c r="I794">
        <v>18</v>
      </c>
    </row>
    <row r="795" spans="1:9">
      <c r="A795" t="s">
        <v>2019</v>
      </c>
      <c r="B795" t="s">
        <v>2020</v>
      </c>
      <c r="C795" t="s">
        <v>47</v>
      </c>
      <c r="D795" t="s">
        <v>78</v>
      </c>
      <c r="E795" t="s">
        <v>15</v>
      </c>
      <c r="F795" t="s">
        <v>2021</v>
      </c>
      <c r="G795" t="s">
        <v>25</v>
      </c>
      <c r="H795">
        <v>0</v>
      </c>
      <c r="I795">
        <v>7</v>
      </c>
    </row>
    <row r="796" spans="1:9">
      <c r="A796" t="s">
        <v>2022</v>
      </c>
      <c r="B796" t="s">
        <v>2023</v>
      </c>
      <c r="C796" t="s">
        <v>35</v>
      </c>
      <c r="D796" t="s">
        <v>78</v>
      </c>
      <c r="E796" t="s">
        <v>42</v>
      </c>
      <c r="F796" t="s">
        <v>1259</v>
      </c>
      <c r="G796" t="s">
        <v>49</v>
      </c>
      <c r="H796">
        <v>0</v>
      </c>
      <c r="I796">
        <v>2</v>
      </c>
    </row>
    <row r="797" spans="1:9">
      <c r="A797" t="s">
        <v>2024</v>
      </c>
      <c r="B797" t="s">
        <v>2025</v>
      </c>
      <c r="C797" t="s">
        <v>13</v>
      </c>
      <c r="D797" t="s">
        <v>14</v>
      </c>
      <c r="E797" t="s">
        <v>30</v>
      </c>
      <c r="F797" t="s">
        <v>1430</v>
      </c>
      <c r="G797" t="s">
        <v>25</v>
      </c>
      <c r="H797">
        <v>0</v>
      </c>
      <c r="I797">
        <v>21</v>
      </c>
    </row>
    <row r="798" spans="1:9">
      <c r="A798" t="s">
        <v>2026</v>
      </c>
      <c r="B798" t="s">
        <v>2027</v>
      </c>
      <c r="C798" t="s">
        <v>35</v>
      </c>
      <c r="D798" t="s">
        <v>78</v>
      </c>
      <c r="E798" t="s">
        <v>73</v>
      </c>
      <c r="F798" t="s">
        <v>218</v>
      </c>
      <c r="G798" t="s">
        <v>38</v>
      </c>
      <c r="H798">
        <v>0</v>
      </c>
      <c r="I798">
        <v>3</v>
      </c>
    </row>
    <row r="799" spans="1:9">
      <c r="A799" t="s">
        <v>2028</v>
      </c>
      <c r="B799" t="s">
        <v>2029</v>
      </c>
      <c r="C799" t="s">
        <v>47</v>
      </c>
      <c r="D799" t="s">
        <v>14</v>
      </c>
      <c r="E799" t="s">
        <v>15</v>
      </c>
      <c r="F799" t="s">
        <v>2030</v>
      </c>
      <c r="G799" t="s">
        <v>54</v>
      </c>
      <c r="H799">
        <v>56752</v>
      </c>
      <c r="I799">
        <v>27</v>
      </c>
    </row>
    <row r="800" spans="1:9">
      <c r="A800" t="s">
        <v>2031</v>
      </c>
      <c r="B800" t="s">
        <v>2032</v>
      </c>
      <c r="C800" t="s">
        <v>29</v>
      </c>
      <c r="D800" t="s">
        <v>36</v>
      </c>
      <c r="E800" t="s">
        <v>23</v>
      </c>
      <c r="F800" t="s">
        <v>768</v>
      </c>
      <c r="G800" t="s">
        <v>38</v>
      </c>
      <c r="H800">
        <v>0</v>
      </c>
      <c r="I800">
        <v>20</v>
      </c>
    </row>
    <row r="801" spans="1:9">
      <c r="A801" t="s">
        <v>2033</v>
      </c>
      <c r="B801" t="s">
        <v>2034</v>
      </c>
      <c r="C801" t="s">
        <v>29</v>
      </c>
      <c r="D801" t="s">
        <v>22</v>
      </c>
      <c r="E801" t="s">
        <v>30</v>
      </c>
      <c r="F801" t="s">
        <v>930</v>
      </c>
      <c r="G801" t="s">
        <v>17</v>
      </c>
      <c r="H801">
        <v>0</v>
      </c>
      <c r="I801">
        <v>23</v>
      </c>
    </row>
    <row r="802" spans="1:9">
      <c r="A802" t="s">
        <v>2035</v>
      </c>
      <c r="B802" t="s">
        <v>2036</v>
      </c>
      <c r="C802" t="s">
        <v>47</v>
      </c>
      <c r="D802" t="s">
        <v>22</v>
      </c>
      <c r="E802" t="s">
        <v>15</v>
      </c>
      <c r="F802" t="s">
        <v>361</v>
      </c>
      <c r="G802" t="s">
        <v>49</v>
      </c>
      <c r="H802">
        <v>0</v>
      </c>
      <c r="I802">
        <v>18</v>
      </c>
    </row>
    <row r="803" spans="1:9">
      <c r="A803" t="s">
        <v>2037</v>
      </c>
      <c r="B803" t="s">
        <v>2038</v>
      </c>
      <c r="C803" t="s">
        <v>21</v>
      </c>
      <c r="D803" t="s">
        <v>58</v>
      </c>
      <c r="E803" t="s">
        <v>73</v>
      </c>
      <c r="F803" t="s">
        <v>885</v>
      </c>
      <c r="G803" t="s">
        <v>38</v>
      </c>
      <c r="H803">
        <v>0</v>
      </c>
      <c r="I803">
        <v>19</v>
      </c>
    </row>
    <row r="804" spans="1:9">
      <c r="A804" t="s">
        <v>2039</v>
      </c>
      <c r="B804" t="s">
        <v>2040</v>
      </c>
      <c r="C804" t="s">
        <v>21</v>
      </c>
      <c r="D804" t="s">
        <v>78</v>
      </c>
      <c r="E804" t="s">
        <v>23</v>
      </c>
      <c r="F804" t="s">
        <v>1889</v>
      </c>
      <c r="G804" t="s">
        <v>25</v>
      </c>
      <c r="H804">
        <v>0</v>
      </c>
      <c r="I804">
        <v>12</v>
      </c>
    </row>
    <row r="805" spans="1:9">
      <c r="A805" t="s">
        <v>2041</v>
      </c>
      <c r="B805" t="s">
        <v>2042</v>
      </c>
      <c r="C805" t="s">
        <v>29</v>
      </c>
      <c r="D805" t="s">
        <v>14</v>
      </c>
      <c r="E805" t="s">
        <v>30</v>
      </c>
      <c r="F805" t="s">
        <v>64</v>
      </c>
      <c r="G805" t="s">
        <v>38</v>
      </c>
      <c r="H805">
        <v>0</v>
      </c>
      <c r="I805">
        <v>26</v>
      </c>
    </row>
    <row r="806" spans="1:9">
      <c r="A806" t="s">
        <v>2043</v>
      </c>
      <c r="B806" t="s">
        <v>2044</v>
      </c>
      <c r="C806" t="s">
        <v>29</v>
      </c>
      <c r="D806" t="s">
        <v>36</v>
      </c>
      <c r="E806" t="s">
        <v>23</v>
      </c>
      <c r="F806" t="s">
        <v>176</v>
      </c>
      <c r="G806" t="s">
        <v>38</v>
      </c>
      <c r="H806">
        <v>0</v>
      </c>
      <c r="I806">
        <v>23</v>
      </c>
    </row>
    <row r="807" spans="1:9">
      <c r="A807" t="s">
        <v>2045</v>
      </c>
      <c r="B807" t="s">
        <v>2046</v>
      </c>
      <c r="C807" t="s">
        <v>47</v>
      </c>
      <c r="D807" t="s">
        <v>14</v>
      </c>
      <c r="E807" t="s">
        <v>30</v>
      </c>
      <c r="F807" t="s">
        <v>1115</v>
      </c>
      <c r="G807" t="s">
        <v>17</v>
      </c>
      <c r="H807">
        <v>0</v>
      </c>
      <c r="I807">
        <v>15</v>
      </c>
    </row>
    <row r="808" spans="1:9">
      <c r="A808" t="s">
        <v>2047</v>
      </c>
      <c r="B808" t="s">
        <v>2048</v>
      </c>
      <c r="C808" t="s">
        <v>29</v>
      </c>
      <c r="D808" t="s">
        <v>22</v>
      </c>
      <c r="E808" t="s">
        <v>42</v>
      </c>
      <c r="F808" t="s">
        <v>1147</v>
      </c>
      <c r="G808" t="s">
        <v>54</v>
      </c>
      <c r="H808">
        <v>33900</v>
      </c>
      <c r="I808">
        <v>13</v>
      </c>
    </row>
    <row r="809" spans="1:9">
      <c r="A809" t="s">
        <v>2049</v>
      </c>
      <c r="B809" t="s">
        <v>2050</v>
      </c>
      <c r="C809" t="s">
        <v>35</v>
      </c>
      <c r="D809" t="s">
        <v>58</v>
      </c>
      <c r="E809" t="s">
        <v>23</v>
      </c>
      <c r="F809" t="s">
        <v>167</v>
      </c>
      <c r="G809" t="s">
        <v>38</v>
      </c>
      <c r="H809">
        <v>0</v>
      </c>
      <c r="I809">
        <v>5</v>
      </c>
    </row>
    <row r="810" spans="1:9">
      <c r="A810" t="s">
        <v>2051</v>
      </c>
      <c r="B810" t="s">
        <v>2052</v>
      </c>
      <c r="C810" t="s">
        <v>63</v>
      </c>
      <c r="D810" t="s">
        <v>14</v>
      </c>
      <c r="E810" t="s">
        <v>30</v>
      </c>
      <c r="F810" t="s">
        <v>1646</v>
      </c>
      <c r="G810" t="s">
        <v>17</v>
      </c>
      <c r="H810">
        <v>0</v>
      </c>
      <c r="I810">
        <v>12</v>
      </c>
    </row>
    <row r="811" spans="1:9">
      <c r="A811" t="s">
        <v>2053</v>
      </c>
      <c r="B811" t="s">
        <v>2054</v>
      </c>
      <c r="C811" t="s">
        <v>47</v>
      </c>
      <c r="D811" t="s">
        <v>36</v>
      </c>
      <c r="E811" t="s">
        <v>42</v>
      </c>
      <c r="F811" t="s">
        <v>825</v>
      </c>
      <c r="G811" t="s">
        <v>17</v>
      </c>
      <c r="H811">
        <v>0</v>
      </c>
      <c r="I811">
        <v>24</v>
      </c>
    </row>
    <row r="812" spans="1:9">
      <c r="A812" t="s">
        <v>2055</v>
      </c>
      <c r="B812" t="s">
        <v>2056</v>
      </c>
      <c r="C812" t="s">
        <v>35</v>
      </c>
      <c r="D812" t="s">
        <v>36</v>
      </c>
      <c r="E812" t="s">
        <v>73</v>
      </c>
      <c r="F812" t="s">
        <v>2057</v>
      </c>
      <c r="G812" t="s">
        <v>75</v>
      </c>
      <c r="H812">
        <v>0</v>
      </c>
      <c r="I812">
        <v>14</v>
      </c>
    </row>
    <row r="813" spans="1:9">
      <c r="A813" t="s">
        <v>2058</v>
      </c>
      <c r="B813" t="s">
        <v>2059</v>
      </c>
      <c r="C813" t="s">
        <v>35</v>
      </c>
      <c r="D813" t="s">
        <v>36</v>
      </c>
      <c r="E813" t="s">
        <v>15</v>
      </c>
      <c r="F813" t="s">
        <v>1278</v>
      </c>
      <c r="G813" t="s">
        <v>75</v>
      </c>
      <c r="H813">
        <v>0</v>
      </c>
      <c r="I813">
        <v>26</v>
      </c>
    </row>
    <row r="814" spans="1:9">
      <c r="A814" t="s">
        <v>2060</v>
      </c>
      <c r="B814" t="s">
        <v>2061</v>
      </c>
      <c r="C814" t="s">
        <v>63</v>
      </c>
      <c r="D814" t="s">
        <v>22</v>
      </c>
      <c r="E814" t="s">
        <v>30</v>
      </c>
      <c r="F814" t="s">
        <v>1383</v>
      </c>
      <c r="G814" t="s">
        <v>49</v>
      </c>
      <c r="H814">
        <v>0</v>
      </c>
      <c r="I814">
        <v>22</v>
      </c>
    </row>
    <row r="815" spans="1:9">
      <c r="A815" t="s">
        <v>2062</v>
      </c>
      <c r="B815" t="s">
        <v>2063</v>
      </c>
      <c r="C815" t="s">
        <v>63</v>
      </c>
      <c r="D815" t="s">
        <v>58</v>
      </c>
      <c r="E815" t="s">
        <v>15</v>
      </c>
      <c r="F815" t="s">
        <v>153</v>
      </c>
      <c r="G815" t="s">
        <v>75</v>
      </c>
      <c r="H815">
        <v>0</v>
      </c>
      <c r="I815">
        <v>4</v>
      </c>
    </row>
    <row r="816" spans="1:9">
      <c r="A816" t="s">
        <v>2064</v>
      </c>
      <c r="B816" t="s">
        <v>2065</v>
      </c>
      <c r="C816" t="s">
        <v>21</v>
      </c>
      <c r="D816" t="s">
        <v>14</v>
      </c>
      <c r="E816" t="s">
        <v>23</v>
      </c>
      <c r="F816" t="s">
        <v>2066</v>
      </c>
      <c r="G816" t="s">
        <v>75</v>
      </c>
      <c r="H816">
        <v>0</v>
      </c>
      <c r="I816">
        <v>19</v>
      </c>
    </row>
    <row r="817" spans="1:9">
      <c r="A817" t="s">
        <v>2067</v>
      </c>
      <c r="B817" t="s">
        <v>2068</v>
      </c>
      <c r="C817" t="s">
        <v>21</v>
      </c>
      <c r="D817" t="s">
        <v>22</v>
      </c>
      <c r="E817" t="s">
        <v>42</v>
      </c>
      <c r="F817" t="s">
        <v>1758</v>
      </c>
      <c r="G817" t="s">
        <v>75</v>
      </c>
      <c r="H817">
        <v>0</v>
      </c>
      <c r="I817">
        <v>6</v>
      </c>
    </row>
    <row r="818" spans="1:9">
      <c r="A818" t="s">
        <v>2069</v>
      </c>
      <c r="B818" t="s">
        <v>2070</v>
      </c>
      <c r="C818" t="s">
        <v>35</v>
      </c>
      <c r="D818" t="s">
        <v>58</v>
      </c>
      <c r="E818" t="s">
        <v>23</v>
      </c>
      <c r="F818" t="s">
        <v>801</v>
      </c>
      <c r="G818" t="s">
        <v>25</v>
      </c>
      <c r="H818">
        <v>0</v>
      </c>
      <c r="I818">
        <v>16</v>
      </c>
    </row>
    <row r="819" spans="1:9">
      <c r="A819" t="s">
        <v>2071</v>
      </c>
      <c r="B819" t="s">
        <v>2072</v>
      </c>
      <c r="C819" t="s">
        <v>29</v>
      </c>
      <c r="D819" t="s">
        <v>58</v>
      </c>
      <c r="E819" t="s">
        <v>15</v>
      </c>
      <c r="F819" t="s">
        <v>261</v>
      </c>
      <c r="G819" t="s">
        <v>49</v>
      </c>
      <c r="H819">
        <v>0</v>
      </c>
      <c r="I819">
        <v>29</v>
      </c>
    </row>
    <row r="820" spans="1:9">
      <c r="A820" t="s">
        <v>2073</v>
      </c>
      <c r="B820" t="s">
        <v>2074</v>
      </c>
      <c r="C820" t="s">
        <v>13</v>
      </c>
      <c r="D820" t="s">
        <v>58</v>
      </c>
      <c r="E820" t="s">
        <v>30</v>
      </c>
      <c r="F820" t="s">
        <v>1804</v>
      </c>
      <c r="G820" t="s">
        <v>49</v>
      </c>
      <c r="H820">
        <v>0</v>
      </c>
      <c r="I820">
        <v>9</v>
      </c>
    </row>
    <row r="821" spans="1:9">
      <c r="A821" t="s">
        <v>2075</v>
      </c>
      <c r="B821" t="s">
        <v>2076</v>
      </c>
      <c r="C821" t="s">
        <v>13</v>
      </c>
      <c r="D821" t="s">
        <v>36</v>
      </c>
      <c r="E821" t="s">
        <v>42</v>
      </c>
      <c r="F821" t="s">
        <v>337</v>
      </c>
      <c r="G821" t="s">
        <v>25</v>
      </c>
      <c r="H821">
        <v>0</v>
      </c>
      <c r="I821">
        <v>14</v>
      </c>
    </row>
    <row r="822" spans="1:9">
      <c r="A822" t="s">
        <v>2077</v>
      </c>
      <c r="B822" t="s">
        <v>2078</v>
      </c>
      <c r="C822" t="s">
        <v>29</v>
      </c>
      <c r="D822" t="s">
        <v>36</v>
      </c>
      <c r="E822" t="s">
        <v>42</v>
      </c>
      <c r="F822" t="s">
        <v>1088</v>
      </c>
      <c r="G822" t="s">
        <v>75</v>
      </c>
      <c r="H822">
        <v>0</v>
      </c>
      <c r="I822">
        <v>6</v>
      </c>
    </row>
    <row r="823" spans="1:9">
      <c r="A823" t="s">
        <v>2079</v>
      </c>
      <c r="B823" t="s">
        <v>2080</v>
      </c>
      <c r="C823" t="s">
        <v>29</v>
      </c>
      <c r="D823" t="s">
        <v>22</v>
      </c>
      <c r="E823" t="s">
        <v>42</v>
      </c>
      <c r="F823" t="s">
        <v>2081</v>
      </c>
      <c r="G823" t="s">
        <v>38</v>
      </c>
      <c r="H823">
        <v>0</v>
      </c>
      <c r="I823">
        <v>12</v>
      </c>
    </row>
    <row r="824" spans="1:9">
      <c r="A824" t="s">
        <v>2082</v>
      </c>
      <c r="B824" t="s">
        <v>2083</v>
      </c>
      <c r="C824" t="s">
        <v>13</v>
      </c>
      <c r="D824" t="s">
        <v>36</v>
      </c>
      <c r="E824" t="s">
        <v>30</v>
      </c>
      <c r="F824" t="s">
        <v>741</v>
      </c>
      <c r="G824" t="s">
        <v>75</v>
      </c>
      <c r="H824">
        <v>0</v>
      </c>
      <c r="I824">
        <v>7</v>
      </c>
    </row>
    <row r="825" spans="1:9">
      <c r="A825" t="s">
        <v>2084</v>
      </c>
      <c r="B825" t="s">
        <v>2085</v>
      </c>
      <c r="C825" t="s">
        <v>13</v>
      </c>
      <c r="D825" t="s">
        <v>58</v>
      </c>
      <c r="E825" t="s">
        <v>30</v>
      </c>
      <c r="F825" t="s">
        <v>383</v>
      </c>
      <c r="G825" t="s">
        <v>49</v>
      </c>
      <c r="H825">
        <v>0</v>
      </c>
      <c r="I825">
        <v>22</v>
      </c>
    </row>
    <row r="826" spans="1:9">
      <c r="A826" t="s">
        <v>2086</v>
      </c>
      <c r="B826" t="s">
        <v>2087</v>
      </c>
      <c r="C826" t="s">
        <v>21</v>
      </c>
      <c r="D826" t="s">
        <v>14</v>
      </c>
      <c r="E826" t="s">
        <v>42</v>
      </c>
      <c r="F826" t="s">
        <v>616</v>
      </c>
      <c r="G826" t="s">
        <v>25</v>
      </c>
      <c r="H826">
        <v>0</v>
      </c>
      <c r="I826">
        <v>5</v>
      </c>
    </row>
    <row r="827" spans="1:9">
      <c r="A827" t="s">
        <v>2088</v>
      </c>
      <c r="B827" t="s">
        <v>2089</v>
      </c>
      <c r="C827" t="s">
        <v>13</v>
      </c>
      <c r="D827" t="s">
        <v>58</v>
      </c>
      <c r="E827" t="s">
        <v>73</v>
      </c>
      <c r="F827" t="s">
        <v>571</v>
      </c>
      <c r="G827" t="s">
        <v>38</v>
      </c>
      <c r="H827">
        <v>0</v>
      </c>
      <c r="I827">
        <v>22</v>
      </c>
    </row>
    <row r="828" spans="1:9">
      <c r="A828" t="s">
        <v>2090</v>
      </c>
      <c r="B828" t="s">
        <v>2091</v>
      </c>
      <c r="C828" t="s">
        <v>13</v>
      </c>
      <c r="D828" t="s">
        <v>58</v>
      </c>
      <c r="E828" t="s">
        <v>42</v>
      </c>
      <c r="F828" t="s">
        <v>1513</v>
      </c>
      <c r="G828" t="s">
        <v>38</v>
      </c>
      <c r="H828">
        <v>0</v>
      </c>
      <c r="I828">
        <v>21</v>
      </c>
    </row>
    <row r="829" spans="1:9">
      <c r="A829" t="s">
        <v>2092</v>
      </c>
      <c r="B829" t="s">
        <v>2093</v>
      </c>
      <c r="C829" t="s">
        <v>63</v>
      </c>
      <c r="D829" t="s">
        <v>78</v>
      </c>
      <c r="E829" t="s">
        <v>73</v>
      </c>
      <c r="F829" t="s">
        <v>284</v>
      </c>
      <c r="G829" t="s">
        <v>49</v>
      </c>
      <c r="H829">
        <v>0</v>
      </c>
      <c r="I829">
        <v>19</v>
      </c>
    </row>
    <row r="830" spans="1:9">
      <c r="A830" t="s">
        <v>2094</v>
      </c>
      <c r="B830" t="s">
        <v>2095</v>
      </c>
      <c r="C830" t="s">
        <v>21</v>
      </c>
      <c r="D830" t="s">
        <v>58</v>
      </c>
      <c r="E830" t="s">
        <v>73</v>
      </c>
      <c r="F830" t="s">
        <v>445</v>
      </c>
      <c r="G830" t="s">
        <v>75</v>
      </c>
      <c r="H830">
        <v>0</v>
      </c>
      <c r="I830">
        <v>14</v>
      </c>
    </row>
    <row r="831" spans="1:9">
      <c r="A831" t="s">
        <v>2096</v>
      </c>
      <c r="B831" t="s">
        <v>2097</v>
      </c>
      <c r="C831" t="s">
        <v>21</v>
      </c>
      <c r="D831" t="s">
        <v>58</v>
      </c>
      <c r="E831" t="s">
        <v>73</v>
      </c>
      <c r="F831" t="s">
        <v>1383</v>
      </c>
      <c r="G831" t="s">
        <v>17</v>
      </c>
      <c r="H831">
        <v>0</v>
      </c>
      <c r="I831">
        <v>13</v>
      </c>
    </row>
    <row r="832" spans="1:9">
      <c r="A832" t="s">
        <v>2098</v>
      </c>
      <c r="B832" t="s">
        <v>2099</v>
      </c>
      <c r="C832" t="s">
        <v>63</v>
      </c>
      <c r="D832" t="s">
        <v>22</v>
      </c>
      <c r="E832" t="s">
        <v>42</v>
      </c>
      <c r="F832" t="s">
        <v>716</v>
      </c>
      <c r="G832" t="s">
        <v>25</v>
      </c>
      <c r="H832">
        <v>0</v>
      </c>
      <c r="I832">
        <v>8</v>
      </c>
    </row>
    <row r="833" spans="1:9">
      <c r="A833" t="s">
        <v>2100</v>
      </c>
      <c r="B833" t="s">
        <v>2101</v>
      </c>
      <c r="C833" t="s">
        <v>63</v>
      </c>
      <c r="D833" t="s">
        <v>36</v>
      </c>
      <c r="E833" t="s">
        <v>30</v>
      </c>
      <c r="F833" t="s">
        <v>252</v>
      </c>
      <c r="G833" t="s">
        <v>54</v>
      </c>
      <c r="H833">
        <v>382242</v>
      </c>
      <c r="I833">
        <v>24</v>
      </c>
    </row>
    <row r="834" spans="1:9">
      <c r="A834" t="s">
        <v>2102</v>
      </c>
      <c r="B834" t="s">
        <v>2103</v>
      </c>
      <c r="C834" t="s">
        <v>47</v>
      </c>
      <c r="D834" t="s">
        <v>78</v>
      </c>
      <c r="E834" t="s">
        <v>15</v>
      </c>
      <c r="F834" t="s">
        <v>2104</v>
      </c>
      <c r="G834" t="s">
        <v>75</v>
      </c>
      <c r="H834">
        <v>0</v>
      </c>
      <c r="I834">
        <v>14</v>
      </c>
    </row>
    <row r="835" spans="1:9">
      <c r="A835" t="s">
        <v>2105</v>
      </c>
      <c r="B835" t="s">
        <v>2106</v>
      </c>
      <c r="C835" t="s">
        <v>29</v>
      </c>
      <c r="D835" t="s">
        <v>58</v>
      </c>
      <c r="E835" t="s">
        <v>23</v>
      </c>
      <c r="F835" t="s">
        <v>1961</v>
      </c>
      <c r="G835" t="s">
        <v>49</v>
      </c>
      <c r="H835">
        <v>0</v>
      </c>
      <c r="I835">
        <v>9</v>
      </c>
    </row>
    <row r="836" spans="1:9">
      <c r="A836" t="s">
        <v>2107</v>
      </c>
      <c r="B836" t="s">
        <v>2108</v>
      </c>
      <c r="C836" t="s">
        <v>29</v>
      </c>
      <c r="D836" t="s">
        <v>22</v>
      </c>
      <c r="E836" t="s">
        <v>42</v>
      </c>
      <c r="F836" t="s">
        <v>2109</v>
      </c>
      <c r="G836" t="s">
        <v>75</v>
      </c>
      <c r="H836">
        <v>0</v>
      </c>
      <c r="I836">
        <v>27</v>
      </c>
    </row>
    <row r="837" spans="1:9">
      <c r="A837" t="s">
        <v>2110</v>
      </c>
      <c r="B837" t="s">
        <v>2111</v>
      </c>
      <c r="C837" t="s">
        <v>47</v>
      </c>
      <c r="D837" t="s">
        <v>36</v>
      </c>
      <c r="E837" t="s">
        <v>73</v>
      </c>
      <c r="F837" t="s">
        <v>241</v>
      </c>
      <c r="G837" t="s">
        <v>38</v>
      </c>
      <c r="H837">
        <v>0</v>
      </c>
      <c r="I837">
        <v>3</v>
      </c>
    </row>
    <row r="838" spans="1:9">
      <c r="A838" t="s">
        <v>2112</v>
      </c>
      <c r="B838" t="s">
        <v>2113</v>
      </c>
      <c r="C838" t="s">
        <v>29</v>
      </c>
      <c r="D838" t="s">
        <v>78</v>
      </c>
      <c r="E838" t="s">
        <v>42</v>
      </c>
      <c r="F838" t="s">
        <v>252</v>
      </c>
      <c r="G838" t="s">
        <v>54</v>
      </c>
      <c r="H838">
        <v>370704</v>
      </c>
      <c r="I838">
        <v>9</v>
      </c>
    </row>
    <row r="839" spans="1:9">
      <c r="A839" t="s">
        <v>2114</v>
      </c>
      <c r="B839" t="s">
        <v>2115</v>
      </c>
      <c r="C839" t="s">
        <v>35</v>
      </c>
      <c r="D839" t="s">
        <v>36</v>
      </c>
      <c r="E839" t="s">
        <v>23</v>
      </c>
      <c r="F839" t="s">
        <v>281</v>
      </c>
      <c r="G839" t="s">
        <v>17</v>
      </c>
      <c r="H839">
        <v>0</v>
      </c>
      <c r="I839">
        <v>11</v>
      </c>
    </row>
    <row r="840" spans="1:9">
      <c r="A840" t="s">
        <v>2116</v>
      </c>
      <c r="B840" t="s">
        <v>2117</v>
      </c>
      <c r="C840" t="s">
        <v>29</v>
      </c>
      <c r="D840" t="s">
        <v>14</v>
      </c>
      <c r="E840" t="s">
        <v>15</v>
      </c>
      <c r="F840" t="s">
        <v>860</v>
      </c>
      <c r="G840" t="s">
        <v>38</v>
      </c>
      <c r="H840">
        <v>0</v>
      </c>
      <c r="I840">
        <v>11</v>
      </c>
    </row>
    <row r="841" spans="1:9">
      <c r="A841" t="s">
        <v>2118</v>
      </c>
      <c r="B841" t="s">
        <v>2119</v>
      </c>
      <c r="C841" t="s">
        <v>13</v>
      </c>
      <c r="D841" t="s">
        <v>78</v>
      </c>
      <c r="E841" t="s">
        <v>42</v>
      </c>
      <c r="F841" t="s">
        <v>298</v>
      </c>
      <c r="G841" t="s">
        <v>38</v>
      </c>
      <c r="H841">
        <v>0</v>
      </c>
      <c r="I841">
        <v>3</v>
      </c>
    </row>
    <row r="842" spans="1:9">
      <c r="A842" t="s">
        <v>2120</v>
      </c>
      <c r="B842" t="s">
        <v>2121</v>
      </c>
      <c r="C842" t="s">
        <v>13</v>
      </c>
      <c r="D842" t="s">
        <v>22</v>
      </c>
      <c r="E842" t="s">
        <v>23</v>
      </c>
      <c r="F842" t="s">
        <v>787</v>
      </c>
      <c r="G842" t="s">
        <v>49</v>
      </c>
      <c r="H842">
        <v>0</v>
      </c>
      <c r="I842">
        <v>11</v>
      </c>
    </row>
    <row r="843" spans="1:9">
      <c r="A843" t="s">
        <v>2122</v>
      </c>
      <c r="B843" t="s">
        <v>2123</v>
      </c>
      <c r="C843" t="s">
        <v>47</v>
      </c>
      <c r="D843" t="s">
        <v>58</v>
      </c>
      <c r="E843" t="s">
        <v>15</v>
      </c>
      <c r="F843" t="s">
        <v>430</v>
      </c>
      <c r="G843" t="s">
        <v>38</v>
      </c>
      <c r="H843">
        <v>0</v>
      </c>
      <c r="I843">
        <v>25</v>
      </c>
    </row>
    <row r="844" spans="1:9">
      <c r="A844" t="s">
        <v>2124</v>
      </c>
      <c r="B844" t="s">
        <v>2125</v>
      </c>
      <c r="C844" t="s">
        <v>47</v>
      </c>
      <c r="D844" t="s">
        <v>58</v>
      </c>
      <c r="E844" t="s">
        <v>15</v>
      </c>
      <c r="F844" t="s">
        <v>646</v>
      </c>
      <c r="G844" t="s">
        <v>54</v>
      </c>
      <c r="H844">
        <v>368220</v>
      </c>
      <c r="I844">
        <v>20</v>
      </c>
    </row>
    <row r="845" spans="1:9">
      <c r="A845" t="s">
        <v>2126</v>
      </c>
      <c r="B845" t="s">
        <v>2127</v>
      </c>
      <c r="C845" t="s">
        <v>13</v>
      </c>
      <c r="D845" t="s">
        <v>36</v>
      </c>
      <c r="E845" t="s">
        <v>42</v>
      </c>
      <c r="F845" t="s">
        <v>2128</v>
      </c>
      <c r="G845" t="s">
        <v>54</v>
      </c>
      <c r="H845">
        <v>262437</v>
      </c>
      <c r="I845">
        <v>8</v>
      </c>
    </row>
    <row r="846" spans="1:9">
      <c r="A846" t="s">
        <v>2129</v>
      </c>
      <c r="B846" t="s">
        <v>2130</v>
      </c>
      <c r="C846" t="s">
        <v>21</v>
      </c>
      <c r="D846" t="s">
        <v>22</v>
      </c>
      <c r="E846" t="s">
        <v>23</v>
      </c>
      <c r="F846" t="s">
        <v>275</v>
      </c>
      <c r="G846" t="s">
        <v>49</v>
      </c>
      <c r="H846">
        <v>0</v>
      </c>
      <c r="I846">
        <v>11</v>
      </c>
    </row>
    <row r="847" spans="1:9">
      <c r="A847" t="s">
        <v>2131</v>
      </c>
      <c r="B847" t="s">
        <v>2132</v>
      </c>
      <c r="C847" t="s">
        <v>63</v>
      </c>
      <c r="D847" t="s">
        <v>22</v>
      </c>
      <c r="E847" t="s">
        <v>15</v>
      </c>
      <c r="F847" t="s">
        <v>2133</v>
      </c>
      <c r="G847" t="s">
        <v>17</v>
      </c>
      <c r="H847">
        <v>0</v>
      </c>
      <c r="I847">
        <v>28</v>
      </c>
    </row>
    <row r="848" spans="1:9">
      <c r="A848" t="s">
        <v>2134</v>
      </c>
      <c r="B848" t="s">
        <v>2135</v>
      </c>
      <c r="C848" t="s">
        <v>63</v>
      </c>
      <c r="D848" t="s">
        <v>36</v>
      </c>
      <c r="E848" t="s">
        <v>23</v>
      </c>
      <c r="F848" t="s">
        <v>1964</v>
      </c>
      <c r="G848" t="s">
        <v>49</v>
      </c>
      <c r="H848">
        <v>0</v>
      </c>
      <c r="I848">
        <v>6</v>
      </c>
    </row>
    <row r="849" spans="1:9">
      <c r="A849" t="s">
        <v>2136</v>
      </c>
      <c r="B849" t="s">
        <v>2137</v>
      </c>
      <c r="C849" t="s">
        <v>29</v>
      </c>
      <c r="D849" t="s">
        <v>36</v>
      </c>
      <c r="E849" t="s">
        <v>73</v>
      </c>
      <c r="F849" t="s">
        <v>1380</v>
      </c>
      <c r="G849" t="s">
        <v>54</v>
      </c>
      <c r="H849">
        <v>416008</v>
      </c>
      <c r="I849">
        <v>21</v>
      </c>
    </row>
    <row r="850" spans="1:9">
      <c r="A850" t="s">
        <v>2138</v>
      </c>
      <c r="B850" t="s">
        <v>2139</v>
      </c>
      <c r="C850" t="s">
        <v>35</v>
      </c>
      <c r="D850" t="s">
        <v>14</v>
      </c>
      <c r="E850" t="s">
        <v>23</v>
      </c>
      <c r="F850" t="s">
        <v>930</v>
      </c>
      <c r="G850" t="s">
        <v>49</v>
      </c>
      <c r="H850">
        <v>0</v>
      </c>
      <c r="I850">
        <v>17</v>
      </c>
    </row>
    <row r="851" spans="1:9">
      <c r="A851" t="s">
        <v>2140</v>
      </c>
      <c r="B851" t="s">
        <v>2141</v>
      </c>
      <c r="C851" t="s">
        <v>13</v>
      </c>
      <c r="D851" t="s">
        <v>14</v>
      </c>
      <c r="E851" t="s">
        <v>30</v>
      </c>
      <c r="F851" t="s">
        <v>1450</v>
      </c>
      <c r="G851" t="s">
        <v>17</v>
      </c>
      <c r="H851">
        <v>0</v>
      </c>
      <c r="I851">
        <v>21</v>
      </c>
    </row>
    <row r="852" spans="1:9">
      <c r="A852" t="s">
        <v>2142</v>
      </c>
      <c r="B852" t="s">
        <v>2143</v>
      </c>
      <c r="C852" t="s">
        <v>47</v>
      </c>
      <c r="D852" t="s">
        <v>36</v>
      </c>
      <c r="E852" t="s">
        <v>30</v>
      </c>
      <c r="F852" t="s">
        <v>2144</v>
      </c>
      <c r="G852" t="s">
        <v>54</v>
      </c>
      <c r="H852">
        <v>279449</v>
      </c>
      <c r="I852">
        <v>11</v>
      </c>
    </row>
    <row r="853" spans="1:9">
      <c r="A853" t="s">
        <v>2145</v>
      </c>
      <c r="B853" t="s">
        <v>2146</v>
      </c>
      <c r="C853" t="s">
        <v>63</v>
      </c>
      <c r="D853" t="s">
        <v>78</v>
      </c>
      <c r="E853" t="s">
        <v>15</v>
      </c>
      <c r="F853" t="s">
        <v>349</v>
      </c>
      <c r="G853" t="s">
        <v>17</v>
      </c>
      <c r="H853">
        <v>0</v>
      </c>
      <c r="I853">
        <v>16</v>
      </c>
    </row>
    <row r="854" spans="1:9">
      <c r="A854" t="s">
        <v>2147</v>
      </c>
      <c r="B854" t="s">
        <v>2148</v>
      </c>
      <c r="C854" t="s">
        <v>29</v>
      </c>
      <c r="D854" t="s">
        <v>58</v>
      </c>
      <c r="E854" t="s">
        <v>42</v>
      </c>
      <c r="F854" t="s">
        <v>1091</v>
      </c>
      <c r="G854" t="s">
        <v>17</v>
      </c>
      <c r="H854">
        <v>0</v>
      </c>
      <c r="I854">
        <v>27</v>
      </c>
    </row>
    <row r="855" spans="1:9">
      <c r="A855" t="s">
        <v>2149</v>
      </c>
      <c r="B855" t="s">
        <v>2150</v>
      </c>
      <c r="C855" t="s">
        <v>35</v>
      </c>
      <c r="D855" t="s">
        <v>78</v>
      </c>
      <c r="E855" t="s">
        <v>73</v>
      </c>
      <c r="F855" t="s">
        <v>1099</v>
      </c>
      <c r="G855" t="s">
        <v>49</v>
      </c>
      <c r="H855">
        <v>0</v>
      </c>
      <c r="I855">
        <v>9</v>
      </c>
    </row>
    <row r="856" spans="1:9">
      <c r="A856" t="s">
        <v>2151</v>
      </c>
      <c r="B856" t="s">
        <v>2152</v>
      </c>
      <c r="C856" t="s">
        <v>29</v>
      </c>
      <c r="D856" t="s">
        <v>78</v>
      </c>
      <c r="E856" t="s">
        <v>42</v>
      </c>
      <c r="F856" t="s">
        <v>1402</v>
      </c>
      <c r="G856" t="s">
        <v>54</v>
      </c>
      <c r="H856">
        <v>313241</v>
      </c>
      <c r="I856">
        <v>19</v>
      </c>
    </row>
    <row r="857" spans="1:9">
      <c r="A857" t="s">
        <v>2153</v>
      </c>
      <c r="B857" t="s">
        <v>2154</v>
      </c>
      <c r="C857" t="s">
        <v>29</v>
      </c>
      <c r="D857" t="s">
        <v>78</v>
      </c>
      <c r="E857" t="s">
        <v>30</v>
      </c>
      <c r="F857" t="s">
        <v>738</v>
      </c>
      <c r="G857" t="s">
        <v>54</v>
      </c>
      <c r="H857">
        <v>449901</v>
      </c>
      <c r="I857">
        <v>25</v>
      </c>
    </row>
    <row r="858" spans="1:9">
      <c r="A858" t="s">
        <v>2155</v>
      </c>
      <c r="B858" t="s">
        <v>2156</v>
      </c>
      <c r="C858" t="s">
        <v>21</v>
      </c>
      <c r="D858" t="s">
        <v>36</v>
      </c>
      <c r="E858" t="s">
        <v>73</v>
      </c>
      <c r="F858" t="s">
        <v>232</v>
      </c>
      <c r="G858" t="s">
        <v>38</v>
      </c>
      <c r="H858">
        <v>0</v>
      </c>
      <c r="I858">
        <v>13</v>
      </c>
    </row>
    <row r="859" spans="1:9">
      <c r="A859" t="s">
        <v>2157</v>
      </c>
      <c r="B859" t="s">
        <v>2158</v>
      </c>
      <c r="C859" t="s">
        <v>35</v>
      </c>
      <c r="D859" t="s">
        <v>58</v>
      </c>
      <c r="E859" t="s">
        <v>30</v>
      </c>
      <c r="F859" t="s">
        <v>1932</v>
      </c>
      <c r="G859" t="s">
        <v>49</v>
      </c>
      <c r="H859">
        <v>0</v>
      </c>
      <c r="I859">
        <v>29</v>
      </c>
    </row>
    <row r="860" spans="1:9">
      <c r="A860" t="s">
        <v>2159</v>
      </c>
      <c r="B860" t="s">
        <v>2160</v>
      </c>
      <c r="C860" t="s">
        <v>35</v>
      </c>
      <c r="D860" t="s">
        <v>58</v>
      </c>
      <c r="E860" t="s">
        <v>73</v>
      </c>
      <c r="F860" t="s">
        <v>2161</v>
      </c>
      <c r="G860" t="s">
        <v>49</v>
      </c>
      <c r="H860">
        <v>0</v>
      </c>
      <c r="I860">
        <v>7</v>
      </c>
    </row>
    <row r="861" spans="1:9">
      <c r="A861" t="s">
        <v>2162</v>
      </c>
      <c r="B861" t="s">
        <v>2163</v>
      </c>
      <c r="C861" t="s">
        <v>47</v>
      </c>
      <c r="D861" t="s">
        <v>14</v>
      </c>
      <c r="E861" t="s">
        <v>15</v>
      </c>
      <c r="F861" t="s">
        <v>212</v>
      </c>
      <c r="G861" t="s">
        <v>17</v>
      </c>
      <c r="H861">
        <v>0</v>
      </c>
      <c r="I861">
        <v>11</v>
      </c>
    </row>
    <row r="862" spans="1:9">
      <c r="A862" t="s">
        <v>2164</v>
      </c>
      <c r="B862" t="s">
        <v>2165</v>
      </c>
      <c r="C862" t="s">
        <v>29</v>
      </c>
      <c r="D862" t="s">
        <v>14</v>
      </c>
      <c r="E862" t="s">
        <v>15</v>
      </c>
      <c r="F862" t="s">
        <v>206</v>
      </c>
      <c r="G862" t="s">
        <v>17</v>
      </c>
      <c r="H862">
        <v>0</v>
      </c>
      <c r="I862">
        <v>28</v>
      </c>
    </row>
    <row r="863" spans="1:9">
      <c r="A863" t="s">
        <v>2166</v>
      </c>
      <c r="B863" t="s">
        <v>2167</v>
      </c>
      <c r="C863" t="s">
        <v>29</v>
      </c>
      <c r="D863" t="s">
        <v>36</v>
      </c>
      <c r="E863" t="s">
        <v>42</v>
      </c>
      <c r="F863" t="s">
        <v>527</v>
      </c>
      <c r="G863" t="s">
        <v>25</v>
      </c>
      <c r="H863">
        <v>0</v>
      </c>
      <c r="I863">
        <v>15</v>
      </c>
    </row>
    <row r="864" spans="1:9">
      <c r="A864" t="s">
        <v>2168</v>
      </c>
      <c r="B864" t="s">
        <v>2169</v>
      </c>
      <c r="C864" t="s">
        <v>47</v>
      </c>
      <c r="D864" t="s">
        <v>58</v>
      </c>
      <c r="E864" t="s">
        <v>42</v>
      </c>
      <c r="F864" t="s">
        <v>619</v>
      </c>
      <c r="G864" t="s">
        <v>49</v>
      </c>
      <c r="H864">
        <v>0</v>
      </c>
      <c r="I864">
        <v>24</v>
      </c>
    </row>
    <row r="865" spans="1:9">
      <c r="A865" t="s">
        <v>2170</v>
      </c>
      <c r="B865" t="s">
        <v>2171</v>
      </c>
      <c r="C865" t="s">
        <v>29</v>
      </c>
      <c r="D865" t="s">
        <v>78</v>
      </c>
      <c r="E865" t="s">
        <v>30</v>
      </c>
      <c r="F865" t="s">
        <v>74</v>
      </c>
      <c r="G865" t="s">
        <v>75</v>
      </c>
      <c r="H865">
        <v>0</v>
      </c>
      <c r="I865">
        <v>5</v>
      </c>
    </row>
    <row r="866" spans="1:9">
      <c r="A866" t="s">
        <v>2172</v>
      </c>
      <c r="B866" t="s">
        <v>2173</v>
      </c>
      <c r="C866" t="s">
        <v>35</v>
      </c>
      <c r="D866" t="s">
        <v>78</v>
      </c>
      <c r="E866" t="s">
        <v>15</v>
      </c>
      <c r="F866" t="s">
        <v>90</v>
      </c>
      <c r="G866" t="s">
        <v>54</v>
      </c>
      <c r="H866">
        <v>364788</v>
      </c>
      <c r="I866">
        <v>23</v>
      </c>
    </row>
    <row r="867" spans="1:9">
      <c r="A867" t="s">
        <v>2174</v>
      </c>
      <c r="B867" t="s">
        <v>2175</v>
      </c>
      <c r="C867" t="s">
        <v>35</v>
      </c>
      <c r="D867" t="s">
        <v>36</v>
      </c>
      <c r="E867" t="s">
        <v>30</v>
      </c>
      <c r="F867" t="s">
        <v>515</v>
      </c>
      <c r="G867" t="s">
        <v>49</v>
      </c>
      <c r="H867">
        <v>0</v>
      </c>
      <c r="I867">
        <v>1</v>
      </c>
    </row>
    <row r="868" spans="1:9">
      <c r="A868" t="s">
        <v>2176</v>
      </c>
      <c r="B868" t="s">
        <v>2177</v>
      </c>
      <c r="C868" t="s">
        <v>29</v>
      </c>
      <c r="D868" t="s">
        <v>14</v>
      </c>
      <c r="E868" t="s">
        <v>30</v>
      </c>
      <c r="F868" t="s">
        <v>1649</v>
      </c>
      <c r="G868" t="s">
        <v>25</v>
      </c>
      <c r="H868">
        <v>0</v>
      </c>
      <c r="I868">
        <v>13</v>
      </c>
    </row>
    <row r="869" spans="1:9">
      <c r="A869" t="s">
        <v>2178</v>
      </c>
      <c r="B869" t="s">
        <v>2179</v>
      </c>
      <c r="C869" t="s">
        <v>29</v>
      </c>
      <c r="D869" t="s">
        <v>78</v>
      </c>
      <c r="E869" t="s">
        <v>30</v>
      </c>
      <c r="F869" t="s">
        <v>1562</v>
      </c>
      <c r="G869" t="s">
        <v>17</v>
      </c>
      <c r="H869">
        <v>0</v>
      </c>
      <c r="I869">
        <v>9</v>
      </c>
    </row>
    <row r="870" spans="1:9">
      <c r="A870" t="s">
        <v>2180</v>
      </c>
      <c r="B870" t="s">
        <v>2181</v>
      </c>
      <c r="C870" t="s">
        <v>35</v>
      </c>
      <c r="D870" t="s">
        <v>58</v>
      </c>
      <c r="E870" t="s">
        <v>30</v>
      </c>
      <c r="F870" t="s">
        <v>2182</v>
      </c>
      <c r="G870" t="s">
        <v>38</v>
      </c>
      <c r="H870">
        <v>0</v>
      </c>
      <c r="I870">
        <v>22</v>
      </c>
    </row>
    <row r="871" spans="1:9">
      <c r="A871" t="s">
        <v>2183</v>
      </c>
      <c r="B871" t="s">
        <v>2184</v>
      </c>
      <c r="C871" t="s">
        <v>35</v>
      </c>
      <c r="D871" t="s">
        <v>14</v>
      </c>
      <c r="E871" t="s">
        <v>23</v>
      </c>
      <c r="F871" t="s">
        <v>597</v>
      </c>
      <c r="G871" t="s">
        <v>54</v>
      </c>
      <c r="H871">
        <v>482579</v>
      </c>
      <c r="I871">
        <v>16</v>
      </c>
    </row>
    <row r="872" spans="1:9">
      <c r="A872" t="s">
        <v>2185</v>
      </c>
      <c r="B872" t="s">
        <v>2186</v>
      </c>
      <c r="C872" t="s">
        <v>21</v>
      </c>
      <c r="D872" t="s">
        <v>14</v>
      </c>
      <c r="E872" t="s">
        <v>42</v>
      </c>
      <c r="F872" t="s">
        <v>611</v>
      </c>
      <c r="G872" t="s">
        <v>17</v>
      </c>
      <c r="H872">
        <v>0</v>
      </c>
      <c r="I872">
        <v>28</v>
      </c>
    </row>
    <row r="873" spans="1:9">
      <c r="A873" t="s">
        <v>2187</v>
      </c>
      <c r="B873" t="s">
        <v>2188</v>
      </c>
      <c r="C873" t="s">
        <v>13</v>
      </c>
      <c r="D873" t="s">
        <v>58</v>
      </c>
      <c r="E873" t="s">
        <v>73</v>
      </c>
      <c r="F873" t="s">
        <v>16</v>
      </c>
      <c r="G873" t="s">
        <v>38</v>
      </c>
      <c r="H873">
        <v>0</v>
      </c>
      <c r="I873">
        <v>5</v>
      </c>
    </row>
    <row r="874" spans="1:9">
      <c r="A874" t="s">
        <v>2189</v>
      </c>
      <c r="B874" t="s">
        <v>2190</v>
      </c>
      <c r="C874" t="s">
        <v>63</v>
      </c>
      <c r="D874" t="s">
        <v>58</v>
      </c>
      <c r="E874" t="s">
        <v>15</v>
      </c>
      <c r="F874" t="s">
        <v>863</v>
      </c>
      <c r="G874" t="s">
        <v>38</v>
      </c>
      <c r="H874">
        <v>0</v>
      </c>
      <c r="I874">
        <v>28</v>
      </c>
    </row>
    <row r="875" spans="1:9">
      <c r="A875" t="s">
        <v>2191</v>
      </c>
      <c r="B875" t="s">
        <v>2192</v>
      </c>
      <c r="C875" t="s">
        <v>13</v>
      </c>
      <c r="D875" t="s">
        <v>78</v>
      </c>
      <c r="E875" t="s">
        <v>23</v>
      </c>
      <c r="F875" t="s">
        <v>2193</v>
      </c>
      <c r="G875" t="s">
        <v>54</v>
      </c>
      <c r="H875">
        <v>480128</v>
      </c>
      <c r="I875">
        <v>24</v>
      </c>
    </row>
    <row r="876" spans="1:9">
      <c r="A876" t="s">
        <v>2194</v>
      </c>
      <c r="B876" t="s">
        <v>2195</v>
      </c>
      <c r="C876" t="s">
        <v>21</v>
      </c>
      <c r="D876" t="s">
        <v>22</v>
      </c>
      <c r="E876" t="s">
        <v>15</v>
      </c>
      <c r="F876" t="s">
        <v>389</v>
      </c>
      <c r="G876" t="s">
        <v>49</v>
      </c>
      <c r="H876">
        <v>0</v>
      </c>
      <c r="I876">
        <v>9</v>
      </c>
    </row>
    <row r="877" spans="1:9">
      <c r="A877" t="s">
        <v>2196</v>
      </c>
      <c r="B877" t="s">
        <v>2197</v>
      </c>
      <c r="C877" t="s">
        <v>29</v>
      </c>
      <c r="D877" t="s">
        <v>78</v>
      </c>
      <c r="E877" t="s">
        <v>73</v>
      </c>
      <c r="F877" t="s">
        <v>398</v>
      </c>
      <c r="G877" t="s">
        <v>75</v>
      </c>
      <c r="H877">
        <v>0</v>
      </c>
      <c r="I877">
        <v>3</v>
      </c>
    </row>
    <row r="878" spans="1:9">
      <c r="A878" t="s">
        <v>2198</v>
      </c>
      <c r="B878" t="s">
        <v>2199</v>
      </c>
      <c r="C878" t="s">
        <v>29</v>
      </c>
      <c r="D878" t="s">
        <v>78</v>
      </c>
      <c r="E878" t="s">
        <v>42</v>
      </c>
      <c r="F878" t="s">
        <v>2200</v>
      </c>
      <c r="G878" t="s">
        <v>49</v>
      </c>
      <c r="H878">
        <v>0</v>
      </c>
      <c r="I878">
        <v>23</v>
      </c>
    </row>
    <row r="879" spans="1:9">
      <c r="A879" t="s">
        <v>2201</v>
      </c>
      <c r="B879" t="s">
        <v>2202</v>
      </c>
      <c r="C879" t="s">
        <v>63</v>
      </c>
      <c r="D879" t="s">
        <v>78</v>
      </c>
      <c r="E879" t="s">
        <v>42</v>
      </c>
      <c r="F879" t="s">
        <v>1291</v>
      </c>
      <c r="G879" t="s">
        <v>17</v>
      </c>
      <c r="H879">
        <v>0</v>
      </c>
      <c r="I879">
        <v>16</v>
      </c>
    </row>
    <row r="880" spans="1:9">
      <c r="A880" t="s">
        <v>2203</v>
      </c>
      <c r="B880" t="s">
        <v>2204</v>
      </c>
      <c r="C880" t="s">
        <v>21</v>
      </c>
      <c r="D880" t="s">
        <v>58</v>
      </c>
      <c r="E880" t="s">
        <v>15</v>
      </c>
      <c r="F880" t="s">
        <v>1764</v>
      </c>
      <c r="G880" t="s">
        <v>17</v>
      </c>
      <c r="H880">
        <v>0</v>
      </c>
      <c r="I880">
        <v>8</v>
      </c>
    </row>
    <row r="881" spans="1:9">
      <c r="A881" t="s">
        <v>2205</v>
      </c>
      <c r="B881" t="s">
        <v>2206</v>
      </c>
      <c r="C881" t="s">
        <v>29</v>
      </c>
      <c r="D881" t="s">
        <v>78</v>
      </c>
      <c r="E881" t="s">
        <v>15</v>
      </c>
      <c r="F881" t="s">
        <v>641</v>
      </c>
      <c r="G881" t="s">
        <v>17</v>
      </c>
      <c r="H881">
        <v>0</v>
      </c>
      <c r="I881">
        <v>2</v>
      </c>
    </row>
    <row r="882" spans="1:9">
      <c r="A882" t="s">
        <v>2207</v>
      </c>
      <c r="B882" t="s">
        <v>2208</v>
      </c>
      <c r="C882" t="s">
        <v>29</v>
      </c>
      <c r="D882" t="s">
        <v>36</v>
      </c>
      <c r="E882" t="s">
        <v>73</v>
      </c>
      <c r="F882" t="s">
        <v>2209</v>
      </c>
      <c r="G882" t="s">
        <v>38</v>
      </c>
      <c r="H882">
        <v>0</v>
      </c>
      <c r="I882">
        <v>2</v>
      </c>
    </row>
    <row r="883" spans="1:9">
      <c r="A883" t="s">
        <v>2210</v>
      </c>
      <c r="B883" t="s">
        <v>2211</v>
      </c>
      <c r="C883" t="s">
        <v>13</v>
      </c>
      <c r="D883" t="s">
        <v>14</v>
      </c>
      <c r="E883" t="s">
        <v>23</v>
      </c>
      <c r="F883" t="s">
        <v>436</v>
      </c>
      <c r="G883" t="s">
        <v>75</v>
      </c>
      <c r="H883">
        <v>0</v>
      </c>
      <c r="I883">
        <v>15</v>
      </c>
    </row>
    <row r="884" spans="1:9">
      <c r="A884" t="s">
        <v>2212</v>
      </c>
      <c r="B884" t="s">
        <v>2213</v>
      </c>
      <c r="C884" t="s">
        <v>35</v>
      </c>
      <c r="D884" t="s">
        <v>58</v>
      </c>
      <c r="E884" t="s">
        <v>42</v>
      </c>
      <c r="F884" t="s">
        <v>876</v>
      </c>
      <c r="G884" t="s">
        <v>25</v>
      </c>
      <c r="H884">
        <v>0</v>
      </c>
      <c r="I884">
        <v>18</v>
      </c>
    </row>
    <row r="885" spans="1:9">
      <c r="A885" t="s">
        <v>2214</v>
      </c>
      <c r="B885" t="s">
        <v>2215</v>
      </c>
      <c r="C885" t="s">
        <v>29</v>
      </c>
      <c r="D885" t="s">
        <v>78</v>
      </c>
      <c r="E885" t="s">
        <v>15</v>
      </c>
      <c r="F885" t="s">
        <v>1761</v>
      </c>
      <c r="G885" t="s">
        <v>17</v>
      </c>
      <c r="H885">
        <v>0</v>
      </c>
      <c r="I885">
        <v>28</v>
      </c>
    </row>
    <row r="886" spans="1:9">
      <c r="A886" t="s">
        <v>2216</v>
      </c>
      <c r="B886" t="s">
        <v>2217</v>
      </c>
      <c r="C886" t="s">
        <v>21</v>
      </c>
      <c r="D886" t="s">
        <v>36</v>
      </c>
      <c r="E886" t="s">
        <v>73</v>
      </c>
      <c r="F886" t="s">
        <v>2218</v>
      </c>
      <c r="G886" t="s">
        <v>17</v>
      </c>
      <c r="H886">
        <v>0</v>
      </c>
      <c r="I886">
        <v>7</v>
      </c>
    </row>
    <row r="887" spans="1:9">
      <c r="A887" t="s">
        <v>2219</v>
      </c>
      <c r="B887" t="s">
        <v>2220</v>
      </c>
      <c r="C887" t="s">
        <v>35</v>
      </c>
      <c r="D887" t="s">
        <v>22</v>
      </c>
      <c r="E887" t="s">
        <v>73</v>
      </c>
      <c r="F887" t="s">
        <v>79</v>
      </c>
      <c r="G887" t="s">
        <v>54</v>
      </c>
      <c r="H887">
        <v>84046</v>
      </c>
      <c r="I887">
        <v>2</v>
      </c>
    </row>
    <row r="888" spans="1:9">
      <c r="A888" t="s">
        <v>2221</v>
      </c>
      <c r="B888" t="s">
        <v>2222</v>
      </c>
      <c r="C888" t="s">
        <v>21</v>
      </c>
      <c r="D888" t="s">
        <v>22</v>
      </c>
      <c r="E888" t="s">
        <v>15</v>
      </c>
      <c r="F888" t="s">
        <v>2144</v>
      </c>
      <c r="G888" t="s">
        <v>49</v>
      </c>
      <c r="H888">
        <v>0</v>
      </c>
      <c r="I888">
        <v>20</v>
      </c>
    </row>
    <row r="889" spans="1:9">
      <c r="A889" t="s">
        <v>2223</v>
      </c>
      <c r="B889" t="s">
        <v>2224</v>
      </c>
      <c r="C889" t="s">
        <v>21</v>
      </c>
      <c r="D889" t="s">
        <v>36</v>
      </c>
      <c r="E889" t="s">
        <v>23</v>
      </c>
      <c r="F889" t="s">
        <v>521</v>
      </c>
      <c r="G889" t="s">
        <v>49</v>
      </c>
      <c r="H889">
        <v>0</v>
      </c>
      <c r="I889">
        <v>23</v>
      </c>
    </row>
    <row r="890" spans="1:9">
      <c r="A890" t="s">
        <v>2225</v>
      </c>
      <c r="B890" t="s">
        <v>2226</v>
      </c>
      <c r="C890" t="s">
        <v>29</v>
      </c>
      <c r="D890" t="s">
        <v>22</v>
      </c>
      <c r="E890" t="s">
        <v>15</v>
      </c>
      <c r="F890" t="s">
        <v>1073</v>
      </c>
      <c r="G890" t="s">
        <v>38</v>
      </c>
      <c r="H890">
        <v>0</v>
      </c>
      <c r="I890">
        <v>29</v>
      </c>
    </row>
    <row r="891" spans="1:9">
      <c r="A891" t="s">
        <v>2227</v>
      </c>
      <c r="B891" t="s">
        <v>2228</v>
      </c>
      <c r="C891" t="s">
        <v>29</v>
      </c>
      <c r="D891" t="s">
        <v>78</v>
      </c>
      <c r="E891" t="s">
        <v>30</v>
      </c>
      <c r="F891" t="s">
        <v>64</v>
      </c>
      <c r="G891" t="s">
        <v>25</v>
      </c>
      <c r="H891">
        <v>0</v>
      </c>
      <c r="I891">
        <v>10</v>
      </c>
    </row>
    <row r="892" spans="1:9">
      <c r="A892" t="s">
        <v>2229</v>
      </c>
      <c r="B892" t="s">
        <v>2230</v>
      </c>
      <c r="C892" t="s">
        <v>13</v>
      </c>
      <c r="D892" t="s">
        <v>78</v>
      </c>
      <c r="E892" t="s">
        <v>23</v>
      </c>
      <c r="F892" t="s">
        <v>2231</v>
      </c>
      <c r="G892" t="s">
        <v>38</v>
      </c>
      <c r="H892">
        <v>0</v>
      </c>
      <c r="I892">
        <v>11</v>
      </c>
    </row>
    <row r="893" spans="1:9">
      <c r="A893" t="s">
        <v>2232</v>
      </c>
      <c r="B893" t="s">
        <v>2233</v>
      </c>
      <c r="C893" t="s">
        <v>63</v>
      </c>
      <c r="D893" t="s">
        <v>22</v>
      </c>
      <c r="E893" t="s">
        <v>23</v>
      </c>
      <c r="F893" t="s">
        <v>221</v>
      </c>
      <c r="G893" t="s">
        <v>75</v>
      </c>
      <c r="H893">
        <v>0</v>
      </c>
      <c r="I893">
        <v>2</v>
      </c>
    </row>
    <row r="894" spans="1:9">
      <c r="A894" t="s">
        <v>2234</v>
      </c>
      <c r="B894" t="s">
        <v>2235</v>
      </c>
      <c r="C894" t="s">
        <v>29</v>
      </c>
      <c r="D894" t="s">
        <v>78</v>
      </c>
      <c r="E894" t="s">
        <v>23</v>
      </c>
      <c r="F894" t="s">
        <v>164</v>
      </c>
      <c r="G894" t="s">
        <v>49</v>
      </c>
      <c r="H894">
        <v>0</v>
      </c>
      <c r="I894">
        <v>20</v>
      </c>
    </row>
    <row r="895" spans="1:9">
      <c r="A895" t="s">
        <v>2236</v>
      </c>
      <c r="B895" t="s">
        <v>2237</v>
      </c>
      <c r="C895" t="s">
        <v>47</v>
      </c>
      <c r="D895" t="s">
        <v>58</v>
      </c>
      <c r="E895" t="s">
        <v>73</v>
      </c>
      <c r="F895" t="s">
        <v>2238</v>
      </c>
      <c r="G895" t="s">
        <v>75</v>
      </c>
      <c r="H895">
        <v>0</v>
      </c>
      <c r="I895">
        <v>16</v>
      </c>
    </row>
    <row r="896" spans="1:9">
      <c r="A896" t="s">
        <v>2239</v>
      </c>
      <c r="B896" t="s">
        <v>2240</v>
      </c>
      <c r="C896" t="s">
        <v>35</v>
      </c>
      <c r="D896" t="s">
        <v>58</v>
      </c>
      <c r="E896" t="s">
        <v>15</v>
      </c>
      <c r="F896" t="s">
        <v>105</v>
      </c>
      <c r="G896" t="s">
        <v>49</v>
      </c>
      <c r="H896">
        <v>0</v>
      </c>
      <c r="I896">
        <v>27</v>
      </c>
    </row>
    <row r="897" spans="1:9">
      <c r="A897" t="s">
        <v>2241</v>
      </c>
      <c r="B897" t="s">
        <v>2242</v>
      </c>
      <c r="C897" t="s">
        <v>13</v>
      </c>
      <c r="D897" t="s">
        <v>36</v>
      </c>
      <c r="E897" t="s">
        <v>73</v>
      </c>
      <c r="F897" t="s">
        <v>93</v>
      </c>
      <c r="G897" t="s">
        <v>49</v>
      </c>
      <c r="H897">
        <v>0</v>
      </c>
      <c r="I897">
        <v>22</v>
      </c>
    </row>
    <row r="898" spans="1:9">
      <c r="A898" t="s">
        <v>2243</v>
      </c>
      <c r="B898" t="s">
        <v>2244</v>
      </c>
      <c r="C898" t="s">
        <v>29</v>
      </c>
      <c r="D898" t="s">
        <v>58</v>
      </c>
      <c r="E898" t="s">
        <v>23</v>
      </c>
      <c r="F898" t="s">
        <v>2193</v>
      </c>
      <c r="G898" t="s">
        <v>54</v>
      </c>
      <c r="H898">
        <v>416896</v>
      </c>
      <c r="I898">
        <v>24</v>
      </c>
    </row>
    <row r="899" spans="1:9">
      <c r="A899" t="s">
        <v>2245</v>
      </c>
      <c r="B899" t="s">
        <v>2246</v>
      </c>
      <c r="C899" t="s">
        <v>13</v>
      </c>
      <c r="D899" t="s">
        <v>78</v>
      </c>
      <c r="E899" t="s">
        <v>15</v>
      </c>
      <c r="F899" t="s">
        <v>891</v>
      </c>
      <c r="G899" t="s">
        <v>25</v>
      </c>
      <c r="H899">
        <v>0</v>
      </c>
      <c r="I899">
        <v>24</v>
      </c>
    </row>
    <row r="900" spans="1:9">
      <c r="A900" t="s">
        <v>2247</v>
      </c>
      <c r="B900" t="s">
        <v>2248</v>
      </c>
      <c r="C900" t="s">
        <v>21</v>
      </c>
      <c r="D900" t="s">
        <v>58</v>
      </c>
      <c r="E900" t="s">
        <v>30</v>
      </c>
      <c r="F900" t="s">
        <v>816</v>
      </c>
      <c r="G900" t="s">
        <v>17</v>
      </c>
      <c r="H900">
        <v>0</v>
      </c>
      <c r="I900">
        <v>28</v>
      </c>
    </row>
    <row r="901" spans="1:9">
      <c r="A901" t="s">
        <v>2249</v>
      </c>
      <c r="B901" t="s">
        <v>2250</v>
      </c>
      <c r="C901" t="s">
        <v>63</v>
      </c>
      <c r="D901" t="s">
        <v>78</v>
      </c>
      <c r="E901" t="s">
        <v>73</v>
      </c>
      <c r="F901" t="s">
        <v>1224</v>
      </c>
      <c r="G901" t="s">
        <v>17</v>
      </c>
      <c r="H901">
        <v>0</v>
      </c>
      <c r="I901">
        <v>25</v>
      </c>
    </row>
    <row r="902" spans="1:9">
      <c r="A902" t="s">
        <v>2251</v>
      </c>
      <c r="B902" t="s">
        <v>2252</v>
      </c>
      <c r="C902" t="s">
        <v>63</v>
      </c>
      <c r="D902" t="s">
        <v>36</v>
      </c>
      <c r="E902" t="s">
        <v>73</v>
      </c>
      <c r="F902" t="s">
        <v>727</v>
      </c>
      <c r="G902" t="s">
        <v>49</v>
      </c>
      <c r="H902">
        <v>0</v>
      </c>
      <c r="I902">
        <v>30</v>
      </c>
    </row>
    <row r="903" spans="1:9">
      <c r="A903" t="s">
        <v>2253</v>
      </c>
      <c r="B903" t="s">
        <v>2254</v>
      </c>
      <c r="C903" t="s">
        <v>35</v>
      </c>
      <c r="D903" t="s">
        <v>14</v>
      </c>
      <c r="E903" t="s">
        <v>23</v>
      </c>
      <c r="F903" t="s">
        <v>2255</v>
      </c>
      <c r="G903" t="s">
        <v>54</v>
      </c>
      <c r="H903">
        <v>395079</v>
      </c>
      <c r="I903">
        <v>14</v>
      </c>
    </row>
    <row r="904" spans="1:9">
      <c r="A904" t="s">
        <v>2256</v>
      </c>
      <c r="B904" t="s">
        <v>2257</v>
      </c>
      <c r="C904" t="s">
        <v>63</v>
      </c>
      <c r="D904" t="s">
        <v>58</v>
      </c>
      <c r="E904" t="s">
        <v>73</v>
      </c>
      <c r="F904" t="s">
        <v>811</v>
      </c>
      <c r="G904" t="s">
        <v>75</v>
      </c>
      <c r="H904">
        <v>0</v>
      </c>
      <c r="I904">
        <v>4</v>
      </c>
    </row>
    <row r="905" spans="1:9">
      <c r="A905" t="s">
        <v>2258</v>
      </c>
      <c r="B905" t="s">
        <v>2259</v>
      </c>
      <c r="C905" t="s">
        <v>35</v>
      </c>
      <c r="D905" t="s">
        <v>14</v>
      </c>
      <c r="E905" t="s">
        <v>73</v>
      </c>
      <c r="F905" t="s">
        <v>1141</v>
      </c>
      <c r="G905" t="s">
        <v>54</v>
      </c>
      <c r="H905">
        <v>306617</v>
      </c>
      <c r="I905">
        <v>10</v>
      </c>
    </row>
    <row r="906" spans="1:9">
      <c r="A906" t="s">
        <v>2260</v>
      </c>
      <c r="B906" t="s">
        <v>2261</v>
      </c>
      <c r="C906" t="s">
        <v>21</v>
      </c>
      <c r="D906" t="s">
        <v>22</v>
      </c>
      <c r="E906" t="s">
        <v>23</v>
      </c>
      <c r="F906" t="s">
        <v>2262</v>
      </c>
      <c r="G906" t="s">
        <v>38</v>
      </c>
      <c r="H906">
        <v>0</v>
      </c>
      <c r="I906">
        <v>12</v>
      </c>
    </row>
    <row r="907" spans="1:9">
      <c r="A907" t="s">
        <v>2263</v>
      </c>
      <c r="B907" t="s">
        <v>2264</v>
      </c>
      <c r="C907" t="s">
        <v>47</v>
      </c>
      <c r="D907" t="s">
        <v>36</v>
      </c>
      <c r="E907" t="s">
        <v>15</v>
      </c>
      <c r="F907" t="s">
        <v>1006</v>
      </c>
      <c r="G907" t="s">
        <v>17</v>
      </c>
      <c r="H907">
        <v>0</v>
      </c>
      <c r="I907">
        <v>26</v>
      </c>
    </row>
    <row r="908" spans="1:9">
      <c r="A908" t="s">
        <v>2265</v>
      </c>
      <c r="B908" t="s">
        <v>2266</v>
      </c>
      <c r="C908" t="s">
        <v>47</v>
      </c>
      <c r="D908" t="s">
        <v>14</v>
      </c>
      <c r="E908" t="s">
        <v>73</v>
      </c>
      <c r="F908" t="s">
        <v>188</v>
      </c>
      <c r="G908" t="s">
        <v>17</v>
      </c>
      <c r="H908">
        <v>0</v>
      </c>
      <c r="I908">
        <v>19</v>
      </c>
    </row>
    <row r="909" spans="1:9">
      <c r="A909" t="s">
        <v>2267</v>
      </c>
      <c r="B909" t="s">
        <v>2268</v>
      </c>
      <c r="C909" t="s">
        <v>13</v>
      </c>
      <c r="D909" t="s">
        <v>36</v>
      </c>
      <c r="E909" t="s">
        <v>73</v>
      </c>
      <c r="F909" t="s">
        <v>2269</v>
      </c>
      <c r="G909" t="s">
        <v>17</v>
      </c>
      <c r="H909">
        <v>0</v>
      </c>
      <c r="I909">
        <v>19</v>
      </c>
    </row>
    <row r="910" spans="1:9">
      <c r="A910" t="s">
        <v>2270</v>
      </c>
      <c r="B910" t="s">
        <v>2271</v>
      </c>
      <c r="C910" t="s">
        <v>35</v>
      </c>
      <c r="D910" t="s">
        <v>14</v>
      </c>
      <c r="E910" t="s">
        <v>73</v>
      </c>
      <c r="F910" t="s">
        <v>1628</v>
      </c>
      <c r="G910" t="s">
        <v>17</v>
      </c>
      <c r="H910">
        <v>0</v>
      </c>
      <c r="I910">
        <v>25</v>
      </c>
    </row>
    <row r="911" spans="1:9">
      <c r="A911" t="s">
        <v>2272</v>
      </c>
      <c r="B911" t="s">
        <v>2273</v>
      </c>
      <c r="C911" t="s">
        <v>21</v>
      </c>
      <c r="D911" t="s">
        <v>58</v>
      </c>
      <c r="E911" t="s">
        <v>23</v>
      </c>
      <c r="F911" t="s">
        <v>226</v>
      </c>
      <c r="G911" t="s">
        <v>25</v>
      </c>
      <c r="H911">
        <v>0</v>
      </c>
      <c r="I911">
        <v>13</v>
      </c>
    </row>
    <row r="912" spans="1:9">
      <c r="A912" t="s">
        <v>2274</v>
      </c>
      <c r="B912" t="s">
        <v>2275</v>
      </c>
      <c r="C912" t="s">
        <v>35</v>
      </c>
      <c r="D912" t="s">
        <v>78</v>
      </c>
      <c r="E912" t="s">
        <v>15</v>
      </c>
      <c r="F912" t="s">
        <v>197</v>
      </c>
      <c r="G912" t="s">
        <v>49</v>
      </c>
      <c r="H912">
        <v>0</v>
      </c>
      <c r="I912">
        <v>30</v>
      </c>
    </row>
    <row r="913" spans="1:9">
      <c r="A913" t="s">
        <v>2276</v>
      </c>
      <c r="B913" t="s">
        <v>2277</v>
      </c>
      <c r="C913" t="s">
        <v>13</v>
      </c>
      <c r="D913" t="s">
        <v>14</v>
      </c>
      <c r="E913" t="s">
        <v>23</v>
      </c>
      <c r="F913" t="s">
        <v>117</v>
      </c>
      <c r="G913" t="s">
        <v>54</v>
      </c>
      <c r="H913">
        <v>83000</v>
      </c>
      <c r="I913">
        <v>23</v>
      </c>
    </row>
    <row r="914" spans="1:9">
      <c r="A914" t="s">
        <v>2278</v>
      </c>
      <c r="B914" t="s">
        <v>2279</v>
      </c>
      <c r="C914" t="s">
        <v>47</v>
      </c>
      <c r="D914" t="s">
        <v>78</v>
      </c>
      <c r="E914" t="s">
        <v>73</v>
      </c>
      <c r="F914" t="s">
        <v>2280</v>
      </c>
      <c r="G914" t="s">
        <v>49</v>
      </c>
      <c r="H914">
        <v>0</v>
      </c>
      <c r="I914">
        <v>24</v>
      </c>
    </row>
    <row r="915" spans="1:9">
      <c r="A915" t="s">
        <v>2281</v>
      </c>
      <c r="B915" t="s">
        <v>2282</v>
      </c>
      <c r="C915" t="s">
        <v>63</v>
      </c>
      <c r="D915" t="s">
        <v>78</v>
      </c>
      <c r="E915" t="s">
        <v>30</v>
      </c>
      <c r="F915" t="s">
        <v>1003</v>
      </c>
      <c r="G915" t="s">
        <v>54</v>
      </c>
      <c r="H915">
        <v>64272</v>
      </c>
      <c r="I915">
        <v>9</v>
      </c>
    </row>
    <row r="916" spans="1:9">
      <c r="A916" t="s">
        <v>2283</v>
      </c>
      <c r="B916" t="s">
        <v>2284</v>
      </c>
      <c r="C916" t="s">
        <v>35</v>
      </c>
      <c r="D916" t="s">
        <v>14</v>
      </c>
      <c r="E916" t="s">
        <v>30</v>
      </c>
      <c r="F916" t="s">
        <v>218</v>
      </c>
      <c r="G916" t="s">
        <v>25</v>
      </c>
      <c r="H916">
        <v>0</v>
      </c>
      <c r="I916">
        <v>8</v>
      </c>
    </row>
    <row r="917" spans="1:9">
      <c r="A917" t="s">
        <v>2285</v>
      </c>
      <c r="B917" t="s">
        <v>2286</v>
      </c>
      <c r="C917" t="s">
        <v>63</v>
      </c>
      <c r="D917" t="s">
        <v>36</v>
      </c>
      <c r="E917" t="s">
        <v>15</v>
      </c>
      <c r="F917" t="s">
        <v>2021</v>
      </c>
      <c r="G917" t="s">
        <v>54</v>
      </c>
      <c r="H917">
        <v>200008</v>
      </c>
      <c r="I917">
        <v>4</v>
      </c>
    </row>
    <row r="918" spans="1:9">
      <c r="A918" t="s">
        <v>2287</v>
      </c>
      <c r="B918" t="s">
        <v>2288</v>
      </c>
      <c r="C918" t="s">
        <v>21</v>
      </c>
      <c r="D918" t="s">
        <v>22</v>
      </c>
      <c r="E918" t="s">
        <v>42</v>
      </c>
      <c r="F918" t="s">
        <v>2004</v>
      </c>
      <c r="G918" t="s">
        <v>75</v>
      </c>
      <c r="H918">
        <v>0</v>
      </c>
      <c r="I918">
        <v>10</v>
      </c>
    </row>
    <row r="919" spans="1:9">
      <c r="A919" t="s">
        <v>2289</v>
      </c>
      <c r="B919" t="s">
        <v>2290</v>
      </c>
      <c r="C919" t="s">
        <v>21</v>
      </c>
      <c r="D919" t="s">
        <v>78</v>
      </c>
      <c r="E919" t="s">
        <v>73</v>
      </c>
      <c r="F919" t="s">
        <v>594</v>
      </c>
      <c r="G919" t="s">
        <v>38</v>
      </c>
      <c r="H919">
        <v>0</v>
      </c>
      <c r="I919">
        <v>29</v>
      </c>
    </row>
    <row r="920" spans="1:9">
      <c r="A920" t="s">
        <v>2291</v>
      </c>
      <c r="B920" t="s">
        <v>2292</v>
      </c>
      <c r="C920" t="s">
        <v>29</v>
      </c>
      <c r="D920" t="s">
        <v>78</v>
      </c>
      <c r="E920" t="s">
        <v>30</v>
      </c>
      <c r="F920" t="s">
        <v>1767</v>
      </c>
      <c r="G920" t="s">
        <v>17</v>
      </c>
      <c r="H920">
        <v>0</v>
      </c>
      <c r="I920">
        <v>13</v>
      </c>
    </row>
    <row r="921" spans="1:9">
      <c r="A921" t="s">
        <v>2293</v>
      </c>
      <c r="B921" t="s">
        <v>2294</v>
      </c>
      <c r="C921" t="s">
        <v>21</v>
      </c>
      <c r="D921" t="s">
        <v>36</v>
      </c>
      <c r="E921" t="s">
        <v>30</v>
      </c>
      <c r="F921" t="s">
        <v>917</v>
      </c>
      <c r="G921" t="s">
        <v>54</v>
      </c>
      <c r="H921">
        <v>76089</v>
      </c>
      <c r="I921">
        <v>22</v>
      </c>
    </row>
    <row r="922" spans="1:9">
      <c r="A922" t="s">
        <v>2295</v>
      </c>
      <c r="B922" t="s">
        <v>2296</v>
      </c>
      <c r="C922" t="s">
        <v>35</v>
      </c>
      <c r="D922" t="s">
        <v>14</v>
      </c>
      <c r="E922" t="s">
        <v>15</v>
      </c>
      <c r="F922" t="s">
        <v>480</v>
      </c>
      <c r="G922" t="s">
        <v>38</v>
      </c>
      <c r="H922">
        <v>0</v>
      </c>
      <c r="I922">
        <v>16</v>
      </c>
    </row>
    <row r="923" spans="1:9">
      <c r="A923" t="s">
        <v>2297</v>
      </c>
      <c r="B923" t="s">
        <v>2298</v>
      </c>
      <c r="C923" t="s">
        <v>63</v>
      </c>
      <c r="D923" t="s">
        <v>14</v>
      </c>
      <c r="E923" t="s">
        <v>15</v>
      </c>
      <c r="F923" t="s">
        <v>958</v>
      </c>
      <c r="G923" t="s">
        <v>25</v>
      </c>
      <c r="H923">
        <v>0</v>
      </c>
      <c r="I923">
        <v>11</v>
      </c>
    </row>
    <row r="924" spans="1:9">
      <c r="A924" t="s">
        <v>2299</v>
      </c>
      <c r="B924" t="s">
        <v>2300</v>
      </c>
      <c r="C924" t="s">
        <v>13</v>
      </c>
      <c r="D924" t="s">
        <v>14</v>
      </c>
      <c r="E924" t="s">
        <v>15</v>
      </c>
      <c r="F924" t="s">
        <v>53</v>
      </c>
      <c r="G924" t="s">
        <v>49</v>
      </c>
      <c r="H924">
        <v>0</v>
      </c>
      <c r="I924">
        <v>23</v>
      </c>
    </row>
    <row r="925" spans="1:9">
      <c r="A925" t="s">
        <v>2301</v>
      </c>
      <c r="B925" t="s">
        <v>2302</v>
      </c>
      <c r="C925" t="s">
        <v>63</v>
      </c>
      <c r="D925" t="s">
        <v>58</v>
      </c>
      <c r="E925" t="s">
        <v>15</v>
      </c>
      <c r="F925" t="s">
        <v>2303</v>
      </c>
      <c r="G925" t="s">
        <v>75</v>
      </c>
      <c r="H925">
        <v>0</v>
      </c>
      <c r="I925">
        <v>25</v>
      </c>
    </row>
    <row r="926" spans="1:9">
      <c r="A926" t="s">
        <v>2304</v>
      </c>
      <c r="B926" t="s">
        <v>2305</v>
      </c>
      <c r="C926" t="s">
        <v>13</v>
      </c>
      <c r="D926" t="s">
        <v>78</v>
      </c>
      <c r="E926" t="s">
        <v>73</v>
      </c>
      <c r="F926" t="s">
        <v>2057</v>
      </c>
      <c r="G926" t="s">
        <v>25</v>
      </c>
      <c r="H926">
        <v>0</v>
      </c>
      <c r="I926">
        <v>8</v>
      </c>
    </row>
    <row r="927" spans="1:9">
      <c r="A927" t="s">
        <v>2306</v>
      </c>
      <c r="B927" t="s">
        <v>2307</v>
      </c>
      <c r="C927" t="s">
        <v>47</v>
      </c>
      <c r="D927" t="s">
        <v>58</v>
      </c>
      <c r="E927" t="s">
        <v>23</v>
      </c>
      <c r="F927" t="s">
        <v>773</v>
      </c>
      <c r="G927" t="s">
        <v>38</v>
      </c>
      <c r="H927">
        <v>0</v>
      </c>
      <c r="I927">
        <v>10</v>
      </c>
    </row>
    <row r="928" spans="1:9">
      <c r="A928" t="s">
        <v>2308</v>
      </c>
      <c r="B928" t="s">
        <v>2309</v>
      </c>
      <c r="C928" t="s">
        <v>47</v>
      </c>
      <c r="D928" t="s">
        <v>22</v>
      </c>
      <c r="E928" t="s">
        <v>23</v>
      </c>
      <c r="F928" t="s">
        <v>1877</v>
      </c>
      <c r="G928" t="s">
        <v>38</v>
      </c>
      <c r="H928">
        <v>0</v>
      </c>
      <c r="I928">
        <v>28</v>
      </c>
    </row>
    <row r="929" spans="1:9">
      <c r="A929" t="s">
        <v>2310</v>
      </c>
      <c r="B929" t="s">
        <v>2311</v>
      </c>
      <c r="C929" t="s">
        <v>21</v>
      </c>
      <c r="D929" t="s">
        <v>22</v>
      </c>
      <c r="E929" t="s">
        <v>30</v>
      </c>
      <c r="F929" t="s">
        <v>2312</v>
      </c>
      <c r="G929" t="s">
        <v>25</v>
      </c>
      <c r="H929">
        <v>0</v>
      </c>
      <c r="I929">
        <v>30</v>
      </c>
    </row>
    <row r="930" spans="1:9">
      <c r="A930" t="s">
        <v>2313</v>
      </c>
      <c r="B930" t="s">
        <v>2314</v>
      </c>
      <c r="C930" t="s">
        <v>47</v>
      </c>
      <c r="D930" t="s">
        <v>14</v>
      </c>
      <c r="E930" t="s">
        <v>42</v>
      </c>
      <c r="F930" t="s">
        <v>1003</v>
      </c>
      <c r="G930" t="s">
        <v>17</v>
      </c>
      <c r="H930">
        <v>0</v>
      </c>
      <c r="I930">
        <v>26</v>
      </c>
    </row>
    <row r="931" spans="1:9">
      <c r="A931" t="s">
        <v>2315</v>
      </c>
      <c r="B931" t="s">
        <v>2316</v>
      </c>
      <c r="C931" t="s">
        <v>63</v>
      </c>
      <c r="D931" t="s">
        <v>58</v>
      </c>
      <c r="E931" t="s">
        <v>23</v>
      </c>
      <c r="F931" t="s">
        <v>2317</v>
      </c>
      <c r="G931" t="s">
        <v>25</v>
      </c>
      <c r="H931">
        <v>0</v>
      </c>
      <c r="I931">
        <v>27</v>
      </c>
    </row>
    <row r="932" spans="1:9">
      <c r="A932" t="s">
        <v>2318</v>
      </c>
      <c r="B932" t="s">
        <v>2319</v>
      </c>
      <c r="C932" t="s">
        <v>47</v>
      </c>
      <c r="D932" t="s">
        <v>78</v>
      </c>
      <c r="E932" t="s">
        <v>30</v>
      </c>
      <c r="F932" t="s">
        <v>156</v>
      </c>
      <c r="G932" t="s">
        <v>75</v>
      </c>
      <c r="H932">
        <v>0</v>
      </c>
      <c r="I932">
        <v>20</v>
      </c>
    </row>
    <row r="933" spans="1:9">
      <c r="A933" t="s">
        <v>2320</v>
      </c>
      <c r="B933" t="s">
        <v>2321</v>
      </c>
      <c r="C933" t="s">
        <v>29</v>
      </c>
      <c r="D933" t="s">
        <v>14</v>
      </c>
      <c r="E933" t="s">
        <v>15</v>
      </c>
      <c r="F933" t="s">
        <v>337</v>
      </c>
      <c r="G933" t="s">
        <v>17</v>
      </c>
      <c r="H933">
        <v>0</v>
      </c>
      <c r="I933">
        <v>23</v>
      </c>
    </row>
    <row r="934" spans="1:9">
      <c r="A934" t="s">
        <v>2322</v>
      </c>
      <c r="B934" t="s">
        <v>2323</v>
      </c>
      <c r="C934" t="s">
        <v>47</v>
      </c>
      <c r="D934" t="s">
        <v>36</v>
      </c>
      <c r="E934" t="s">
        <v>30</v>
      </c>
      <c r="F934" t="s">
        <v>1346</v>
      </c>
      <c r="G934" t="s">
        <v>54</v>
      </c>
      <c r="H934">
        <v>332498</v>
      </c>
      <c r="I934">
        <v>12</v>
      </c>
    </row>
    <row r="935" spans="1:9">
      <c r="A935" t="s">
        <v>2324</v>
      </c>
      <c r="B935" t="s">
        <v>2325</v>
      </c>
      <c r="C935" t="s">
        <v>35</v>
      </c>
      <c r="D935" t="s">
        <v>36</v>
      </c>
      <c r="E935" t="s">
        <v>15</v>
      </c>
      <c r="F935" t="s">
        <v>325</v>
      </c>
      <c r="G935" t="s">
        <v>49</v>
      </c>
      <c r="H935">
        <v>0</v>
      </c>
      <c r="I935">
        <v>12</v>
      </c>
    </row>
    <row r="936" spans="1:9">
      <c r="A936" t="s">
        <v>2326</v>
      </c>
      <c r="B936" t="s">
        <v>2327</v>
      </c>
      <c r="C936" t="s">
        <v>63</v>
      </c>
      <c r="D936" t="s">
        <v>36</v>
      </c>
      <c r="E936" t="s">
        <v>30</v>
      </c>
      <c r="F936" t="s">
        <v>876</v>
      </c>
      <c r="G936" t="s">
        <v>17</v>
      </c>
      <c r="H936">
        <v>0</v>
      </c>
      <c r="I936">
        <v>26</v>
      </c>
    </row>
    <row r="937" spans="1:9">
      <c r="A937" t="s">
        <v>2328</v>
      </c>
      <c r="B937" t="s">
        <v>2329</v>
      </c>
      <c r="C937" t="s">
        <v>47</v>
      </c>
      <c r="D937" t="s">
        <v>36</v>
      </c>
      <c r="E937" t="s">
        <v>23</v>
      </c>
      <c r="F937" t="s">
        <v>1746</v>
      </c>
      <c r="G937" t="s">
        <v>54</v>
      </c>
      <c r="H937">
        <v>222102</v>
      </c>
      <c r="I937">
        <v>16</v>
      </c>
    </row>
    <row r="938" spans="1:9">
      <c r="A938" t="s">
        <v>2330</v>
      </c>
      <c r="B938" t="s">
        <v>2331</v>
      </c>
      <c r="C938" t="s">
        <v>21</v>
      </c>
      <c r="D938" t="s">
        <v>14</v>
      </c>
      <c r="E938" t="s">
        <v>30</v>
      </c>
      <c r="F938" t="s">
        <v>2004</v>
      </c>
      <c r="G938" t="s">
        <v>54</v>
      </c>
      <c r="H938">
        <v>313283</v>
      </c>
      <c r="I938">
        <v>29</v>
      </c>
    </row>
    <row r="939" spans="1:9">
      <c r="A939" t="s">
        <v>2332</v>
      </c>
      <c r="B939" t="s">
        <v>2333</v>
      </c>
      <c r="C939" t="s">
        <v>21</v>
      </c>
      <c r="D939" t="s">
        <v>14</v>
      </c>
      <c r="E939" t="s">
        <v>42</v>
      </c>
      <c r="F939" t="s">
        <v>2334</v>
      </c>
      <c r="G939" t="s">
        <v>25</v>
      </c>
      <c r="H939">
        <v>0</v>
      </c>
      <c r="I939">
        <v>25</v>
      </c>
    </row>
    <row r="940" spans="1:9">
      <c r="A940" t="s">
        <v>2335</v>
      </c>
      <c r="B940" t="s">
        <v>2336</v>
      </c>
      <c r="C940" t="s">
        <v>29</v>
      </c>
      <c r="D940" t="s">
        <v>36</v>
      </c>
      <c r="E940" t="s">
        <v>23</v>
      </c>
      <c r="F940" t="s">
        <v>1929</v>
      </c>
      <c r="G940" t="s">
        <v>49</v>
      </c>
      <c r="H940">
        <v>0</v>
      </c>
      <c r="I940">
        <v>16</v>
      </c>
    </row>
    <row r="941" spans="1:9">
      <c r="A941" t="s">
        <v>2337</v>
      </c>
      <c r="B941" t="s">
        <v>2338</v>
      </c>
      <c r="C941" t="s">
        <v>35</v>
      </c>
      <c r="D941" t="s">
        <v>58</v>
      </c>
      <c r="E941" t="s">
        <v>15</v>
      </c>
      <c r="F941" t="s">
        <v>2339</v>
      </c>
      <c r="G941" t="s">
        <v>25</v>
      </c>
      <c r="H941">
        <v>0</v>
      </c>
      <c r="I941">
        <v>7</v>
      </c>
    </row>
    <row r="942" spans="1:9">
      <c r="A942" t="s">
        <v>2340</v>
      </c>
      <c r="B942" t="s">
        <v>2341</v>
      </c>
      <c r="C942" t="s">
        <v>63</v>
      </c>
      <c r="D942" t="s">
        <v>14</v>
      </c>
      <c r="E942" t="s">
        <v>73</v>
      </c>
      <c r="F942" t="s">
        <v>2342</v>
      </c>
      <c r="G942" t="s">
        <v>54</v>
      </c>
      <c r="H942">
        <v>340560</v>
      </c>
      <c r="I942">
        <v>2</v>
      </c>
    </row>
    <row r="943" spans="1:9">
      <c r="A943" t="s">
        <v>2343</v>
      </c>
      <c r="B943" t="s">
        <v>2344</v>
      </c>
      <c r="C943" t="s">
        <v>35</v>
      </c>
      <c r="D943" t="s">
        <v>22</v>
      </c>
      <c r="E943" t="s">
        <v>15</v>
      </c>
      <c r="F943" t="s">
        <v>2303</v>
      </c>
      <c r="G943" t="s">
        <v>54</v>
      </c>
      <c r="H943">
        <v>328225</v>
      </c>
      <c r="I943">
        <v>16</v>
      </c>
    </row>
    <row r="944" spans="1:9">
      <c r="A944" t="s">
        <v>2345</v>
      </c>
      <c r="B944" t="s">
        <v>2346</v>
      </c>
      <c r="C944" t="s">
        <v>47</v>
      </c>
      <c r="D944" t="s">
        <v>78</v>
      </c>
      <c r="E944" t="s">
        <v>42</v>
      </c>
      <c r="F944" t="s">
        <v>902</v>
      </c>
      <c r="G944" t="s">
        <v>25</v>
      </c>
      <c r="H944">
        <v>0</v>
      </c>
      <c r="I944">
        <v>3</v>
      </c>
    </row>
    <row r="945" spans="1:9">
      <c r="A945" t="s">
        <v>2347</v>
      </c>
      <c r="B945" t="s">
        <v>2348</v>
      </c>
      <c r="C945" t="s">
        <v>63</v>
      </c>
      <c r="D945" t="s">
        <v>78</v>
      </c>
      <c r="E945" t="s">
        <v>42</v>
      </c>
      <c r="F945" t="s">
        <v>2349</v>
      </c>
      <c r="G945" t="s">
        <v>54</v>
      </c>
      <c r="H945">
        <v>228830</v>
      </c>
      <c r="I945">
        <v>15</v>
      </c>
    </row>
    <row r="946" spans="1:9">
      <c r="A946" t="s">
        <v>2350</v>
      </c>
      <c r="B946" t="s">
        <v>2351</v>
      </c>
      <c r="C946" t="s">
        <v>35</v>
      </c>
      <c r="D946" t="s">
        <v>22</v>
      </c>
      <c r="E946" t="s">
        <v>42</v>
      </c>
      <c r="F946" t="s">
        <v>922</v>
      </c>
      <c r="G946" t="s">
        <v>38</v>
      </c>
      <c r="H946">
        <v>0</v>
      </c>
      <c r="I946">
        <v>4</v>
      </c>
    </row>
    <row r="947" spans="1:9">
      <c r="A947" t="s">
        <v>2352</v>
      </c>
      <c r="B947" t="s">
        <v>2353</v>
      </c>
      <c r="C947" t="s">
        <v>29</v>
      </c>
      <c r="D947" t="s">
        <v>58</v>
      </c>
      <c r="E947" t="s">
        <v>23</v>
      </c>
      <c r="F947" t="s">
        <v>2238</v>
      </c>
      <c r="G947" t="s">
        <v>17</v>
      </c>
      <c r="H947">
        <v>0</v>
      </c>
      <c r="I947">
        <v>25</v>
      </c>
    </row>
    <row r="948" spans="1:9">
      <c r="A948" t="s">
        <v>2354</v>
      </c>
      <c r="B948" t="s">
        <v>2355</v>
      </c>
      <c r="C948" t="s">
        <v>29</v>
      </c>
      <c r="D948" t="s">
        <v>78</v>
      </c>
      <c r="E948" t="s">
        <v>73</v>
      </c>
      <c r="F948" t="s">
        <v>1555</v>
      </c>
      <c r="G948" t="s">
        <v>49</v>
      </c>
      <c r="H948">
        <v>0</v>
      </c>
      <c r="I948">
        <v>20</v>
      </c>
    </row>
    <row r="949" spans="1:9">
      <c r="A949" t="s">
        <v>2356</v>
      </c>
      <c r="B949" t="s">
        <v>2357</v>
      </c>
      <c r="C949" t="s">
        <v>29</v>
      </c>
      <c r="D949" t="s">
        <v>58</v>
      </c>
      <c r="E949" t="s">
        <v>15</v>
      </c>
      <c r="F949" t="s">
        <v>87</v>
      </c>
      <c r="G949" t="s">
        <v>75</v>
      </c>
      <c r="H949">
        <v>0</v>
      </c>
      <c r="I949">
        <v>11</v>
      </c>
    </row>
    <row r="950" spans="1:9">
      <c r="A950" t="s">
        <v>2358</v>
      </c>
      <c r="B950" t="s">
        <v>2359</v>
      </c>
      <c r="C950" t="s">
        <v>47</v>
      </c>
      <c r="D950" t="s">
        <v>58</v>
      </c>
      <c r="E950" t="s">
        <v>23</v>
      </c>
      <c r="F950" t="s">
        <v>209</v>
      </c>
      <c r="G950" t="s">
        <v>54</v>
      </c>
      <c r="H950">
        <v>62095</v>
      </c>
      <c r="I950">
        <v>27</v>
      </c>
    </row>
    <row r="951" spans="1:9">
      <c r="A951" t="s">
        <v>2360</v>
      </c>
      <c r="B951" t="s">
        <v>2361</v>
      </c>
      <c r="C951" t="s">
        <v>13</v>
      </c>
      <c r="D951" t="s">
        <v>58</v>
      </c>
      <c r="E951" t="s">
        <v>42</v>
      </c>
      <c r="F951" t="s">
        <v>2280</v>
      </c>
      <c r="G951" t="s">
        <v>49</v>
      </c>
      <c r="H951">
        <v>0</v>
      </c>
      <c r="I951">
        <v>22</v>
      </c>
    </row>
    <row r="952" spans="1:9">
      <c r="A952" t="s">
        <v>2362</v>
      </c>
      <c r="B952" t="s">
        <v>2363</v>
      </c>
      <c r="C952" t="s">
        <v>13</v>
      </c>
      <c r="D952" t="s">
        <v>58</v>
      </c>
      <c r="E952" t="s">
        <v>73</v>
      </c>
      <c r="F952" t="s">
        <v>2364</v>
      </c>
      <c r="G952" t="s">
        <v>17</v>
      </c>
      <c r="H952">
        <v>0</v>
      </c>
      <c r="I952">
        <v>8</v>
      </c>
    </row>
    <row r="953" spans="1:9">
      <c r="A953" t="s">
        <v>2365</v>
      </c>
      <c r="B953" t="s">
        <v>2366</v>
      </c>
      <c r="C953" t="s">
        <v>63</v>
      </c>
      <c r="D953" t="s">
        <v>22</v>
      </c>
      <c r="E953" t="s">
        <v>73</v>
      </c>
      <c r="F953" t="s">
        <v>2367</v>
      </c>
      <c r="G953" t="s">
        <v>75</v>
      </c>
      <c r="H953">
        <v>0</v>
      </c>
      <c r="I953">
        <v>19</v>
      </c>
    </row>
    <row r="954" spans="1:9">
      <c r="A954" t="s">
        <v>2368</v>
      </c>
      <c r="B954" t="s">
        <v>2369</v>
      </c>
      <c r="C954" t="s">
        <v>29</v>
      </c>
      <c r="D954" t="s">
        <v>58</v>
      </c>
      <c r="E954" t="s">
        <v>73</v>
      </c>
      <c r="F954" t="s">
        <v>2370</v>
      </c>
      <c r="G954" t="s">
        <v>25</v>
      </c>
      <c r="H954">
        <v>0</v>
      </c>
      <c r="I954">
        <v>20</v>
      </c>
    </row>
    <row r="955" spans="1:9">
      <c r="A955" t="s">
        <v>2371</v>
      </c>
      <c r="B955" t="s">
        <v>2372</v>
      </c>
      <c r="C955" t="s">
        <v>29</v>
      </c>
      <c r="D955" t="s">
        <v>14</v>
      </c>
      <c r="E955" t="s">
        <v>73</v>
      </c>
      <c r="F955" t="s">
        <v>866</v>
      </c>
      <c r="G955" t="s">
        <v>54</v>
      </c>
      <c r="H955">
        <v>27594</v>
      </c>
      <c r="I955">
        <v>22</v>
      </c>
    </row>
    <row r="956" spans="1:9">
      <c r="A956" t="s">
        <v>2373</v>
      </c>
      <c r="B956" t="s">
        <v>2374</v>
      </c>
      <c r="C956" t="s">
        <v>35</v>
      </c>
      <c r="D956" t="s">
        <v>36</v>
      </c>
      <c r="E956" t="s">
        <v>30</v>
      </c>
      <c r="F956" t="s">
        <v>2144</v>
      </c>
      <c r="G956" t="s">
        <v>75</v>
      </c>
      <c r="H956">
        <v>0</v>
      </c>
      <c r="I956">
        <v>19</v>
      </c>
    </row>
    <row r="957" spans="1:9">
      <c r="A957" t="s">
        <v>2375</v>
      </c>
      <c r="B957" t="s">
        <v>2376</v>
      </c>
      <c r="C957" t="s">
        <v>21</v>
      </c>
      <c r="D957" t="s">
        <v>58</v>
      </c>
      <c r="E957" t="s">
        <v>73</v>
      </c>
      <c r="F957" t="s">
        <v>746</v>
      </c>
      <c r="G957" t="s">
        <v>38</v>
      </c>
      <c r="H957">
        <v>0</v>
      </c>
      <c r="I957">
        <v>30</v>
      </c>
    </row>
    <row r="958" spans="1:9">
      <c r="A958" t="s">
        <v>2377</v>
      </c>
      <c r="B958" t="s">
        <v>2378</v>
      </c>
      <c r="C958" t="s">
        <v>35</v>
      </c>
      <c r="D958" t="s">
        <v>78</v>
      </c>
      <c r="E958" t="s">
        <v>73</v>
      </c>
      <c r="F958" t="s">
        <v>1177</v>
      </c>
      <c r="G958" t="s">
        <v>17</v>
      </c>
      <c r="H958">
        <v>0</v>
      </c>
      <c r="I958">
        <v>24</v>
      </c>
    </row>
    <row r="959" spans="1:9">
      <c r="A959" t="s">
        <v>2379</v>
      </c>
      <c r="B959" t="s">
        <v>2380</v>
      </c>
      <c r="C959" t="s">
        <v>13</v>
      </c>
      <c r="D959" t="s">
        <v>22</v>
      </c>
      <c r="E959" t="s">
        <v>30</v>
      </c>
      <c r="F959" t="s">
        <v>159</v>
      </c>
      <c r="G959" t="s">
        <v>75</v>
      </c>
      <c r="H959">
        <v>0</v>
      </c>
      <c r="I959">
        <v>14</v>
      </c>
    </row>
    <row r="960" spans="1:9">
      <c r="A960" t="s">
        <v>2381</v>
      </c>
      <c r="B960" t="s">
        <v>2382</v>
      </c>
      <c r="C960" t="s">
        <v>21</v>
      </c>
      <c r="D960" t="s">
        <v>36</v>
      </c>
      <c r="E960" t="s">
        <v>30</v>
      </c>
      <c r="F960" t="s">
        <v>212</v>
      </c>
      <c r="G960" t="s">
        <v>75</v>
      </c>
      <c r="H960">
        <v>0</v>
      </c>
      <c r="I960">
        <v>27</v>
      </c>
    </row>
    <row r="961" spans="1:9">
      <c r="A961" t="s">
        <v>2383</v>
      </c>
      <c r="B961" t="s">
        <v>2384</v>
      </c>
      <c r="C961" t="s">
        <v>21</v>
      </c>
      <c r="D961" t="s">
        <v>78</v>
      </c>
      <c r="E961" t="s">
        <v>42</v>
      </c>
      <c r="F961" t="s">
        <v>1781</v>
      </c>
      <c r="G961" t="s">
        <v>25</v>
      </c>
      <c r="H961">
        <v>0</v>
      </c>
      <c r="I961">
        <v>16</v>
      </c>
    </row>
    <row r="962" spans="1:9">
      <c r="A962" t="s">
        <v>2385</v>
      </c>
      <c r="B962" t="s">
        <v>2386</v>
      </c>
      <c r="C962" t="s">
        <v>21</v>
      </c>
      <c r="D962" t="s">
        <v>14</v>
      </c>
      <c r="E962" t="s">
        <v>42</v>
      </c>
      <c r="F962" t="s">
        <v>241</v>
      </c>
      <c r="G962" t="s">
        <v>75</v>
      </c>
      <c r="H962">
        <v>0</v>
      </c>
      <c r="I962">
        <v>11</v>
      </c>
    </row>
    <row r="963" spans="1:9">
      <c r="A963" t="s">
        <v>2387</v>
      </c>
      <c r="B963" t="s">
        <v>2388</v>
      </c>
      <c r="C963" t="s">
        <v>63</v>
      </c>
      <c r="D963" t="s">
        <v>58</v>
      </c>
      <c r="E963" t="s">
        <v>73</v>
      </c>
      <c r="F963" t="s">
        <v>90</v>
      </c>
      <c r="G963" t="s">
        <v>75</v>
      </c>
      <c r="H963">
        <v>0</v>
      </c>
      <c r="I963">
        <v>3</v>
      </c>
    </row>
    <row r="964" spans="1:9">
      <c r="A964" t="s">
        <v>2389</v>
      </c>
      <c r="B964" t="s">
        <v>2390</v>
      </c>
      <c r="C964" t="s">
        <v>13</v>
      </c>
      <c r="D964" t="s">
        <v>58</v>
      </c>
      <c r="E964" t="s">
        <v>15</v>
      </c>
      <c r="F964" t="s">
        <v>281</v>
      </c>
      <c r="G964" t="s">
        <v>75</v>
      </c>
      <c r="H964">
        <v>0</v>
      </c>
      <c r="I964">
        <v>5</v>
      </c>
    </row>
    <row r="965" spans="1:9">
      <c r="A965" t="s">
        <v>2391</v>
      </c>
      <c r="B965" t="s">
        <v>2392</v>
      </c>
      <c r="C965" t="s">
        <v>63</v>
      </c>
      <c r="D965" t="s">
        <v>58</v>
      </c>
      <c r="E965" t="s">
        <v>30</v>
      </c>
      <c r="F965" t="s">
        <v>2393</v>
      </c>
      <c r="G965" t="s">
        <v>54</v>
      </c>
      <c r="H965">
        <v>378230</v>
      </c>
      <c r="I965">
        <v>11</v>
      </c>
    </row>
    <row r="966" spans="1:9">
      <c r="A966" t="s">
        <v>2394</v>
      </c>
      <c r="B966" t="s">
        <v>2395</v>
      </c>
      <c r="C966" t="s">
        <v>29</v>
      </c>
      <c r="D966" t="s">
        <v>14</v>
      </c>
      <c r="E966" t="s">
        <v>42</v>
      </c>
      <c r="F966" t="s">
        <v>2128</v>
      </c>
      <c r="G966" t="s">
        <v>17</v>
      </c>
      <c r="H966">
        <v>0</v>
      </c>
      <c r="I966">
        <v>11</v>
      </c>
    </row>
    <row r="967" spans="1:9">
      <c r="A967" t="s">
        <v>2396</v>
      </c>
      <c r="B967" t="s">
        <v>2397</v>
      </c>
      <c r="C967" t="s">
        <v>35</v>
      </c>
      <c r="D967" t="s">
        <v>58</v>
      </c>
      <c r="E967" t="s">
        <v>23</v>
      </c>
      <c r="F967" t="s">
        <v>424</v>
      </c>
      <c r="G967" t="s">
        <v>75</v>
      </c>
      <c r="H967">
        <v>0</v>
      </c>
      <c r="I967">
        <v>11</v>
      </c>
    </row>
    <row r="968" spans="1:9">
      <c r="A968" t="s">
        <v>2398</v>
      </c>
      <c r="B968" t="s">
        <v>2399</v>
      </c>
      <c r="C968" t="s">
        <v>35</v>
      </c>
      <c r="D968" t="s">
        <v>36</v>
      </c>
      <c r="E968" t="s">
        <v>23</v>
      </c>
      <c r="F968" t="s">
        <v>1964</v>
      </c>
      <c r="G968" t="s">
        <v>54</v>
      </c>
      <c r="H968">
        <v>109018</v>
      </c>
      <c r="I968">
        <v>30</v>
      </c>
    </row>
    <row r="969" spans="1:9">
      <c r="A969" t="s">
        <v>2400</v>
      </c>
      <c r="B969" t="s">
        <v>2401</v>
      </c>
      <c r="C969" t="s">
        <v>47</v>
      </c>
      <c r="D969" t="s">
        <v>14</v>
      </c>
      <c r="E969" t="s">
        <v>42</v>
      </c>
      <c r="F969" t="s">
        <v>105</v>
      </c>
      <c r="G969" t="s">
        <v>38</v>
      </c>
      <c r="H969">
        <v>0</v>
      </c>
      <c r="I969">
        <v>21</v>
      </c>
    </row>
    <row r="970" spans="1:9">
      <c r="A970" t="s">
        <v>2402</v>
      </c>
      <c r="B970" t="s">
        <v>2403</v>
      </c>
      <c r="C970" t="s">
        <v>13</v>
      </c>
      <c r="D970" t="s">
        <v>22</v>
      </c>
      <c r="E970" t="s">
        <v>42</v>
      </c>
      <c r="F970" t="s">
        <v>846</v>
      </c>
      <c r="G970" t="s">
        <v>49</v>
      </c>
      <c r="H970">
        <v>0</v>
      </c>
      <c r="I970">
        <v>21</v>
      </c>
    </row>
    <row r="971" spans="1:9">
      <c r="A971" t="s">
        <v>2404</v>
      </c>
      <c r="B971" t="s">
        <v>2405</v>
      </c>
      <c r="C971" t="s">
        <v>63</v>
      </c>
      <c r="D971" t="s">
        <v>58</v>
      </c>
      <c r="E971" t="s">
        <v>30</v>
      </c>
      <c r="F971" t="s">
        <v>173</v>
      </c>
      <c r="G971" t="s">
        <v>54</v>
      </c>
      <c r="H971">
        <v>308174</v>
      </c>
      <c r="I971">
        <v>9</v>
      </c>
    </row>
    <row r="972" spans="1:9">
      <c r="A972" t="s">
        <v>2406</v>
      </c>
      <c r="B972" t="s">
        <v>2407</v>
      </c>
      <c r="C972" t="s">
        <v>35</v>
      </c>
      <c r="D972" t="s">
        <v>14</v>
      </c>
      <c r="E972" t="s">
        <v>73</v>
      </c>
      <c r="F972" t="s">
        <v>1259</v>
      </c>
      <c r="G972" t="s">
        <v>17</v>
      </c>
      <c r="H972">
        <v>0</v>
      </c>
      <c r="I972">
        <v>26</v>
      </c>
    </row>
    <row r="973" spans="1:9">
      <c r="A973" t="s">
        <v>2408</v>
      </c>
      <c r="B973" t="s">
        <v>2409</v>
      </c>
      <c r="C973" t="s">
        <v>29</v>
      </c>
      <c r="D973" t="s">
        <v>22</v>
      </c>
      <c r="E973" t="s">
        <v>23</v>
      </c>
      <c r="F973" t="s">
        <v>1555</v>
      </c>
      <c r="G973" t="s">
        <v>54</v>
      </c>
      <c r="H973">
        <v>192224</v>
      </c>
      <c r="I973">
        <v>7</v>
      </c>
    </row>
    <row r="974" spans="1:9">
      <c r="A974" t="s">
        <v>2410</v>
      </c>
      <c r="B974" t="s">
        <v>2411</v>
      </c>
      <c r="C974" t="s">
        <v>35</v>
      </c>
      <c r="D974" t="s">
        <v>22</v>
      </c>
      <c r="E974" t="s">
        <v>23</v>
      </c>
      <c r="F974" t="s">
        <v>2412</v>
      </c>
      <c r="G974" t="s">
        <v>49</v>
      </c>
      <c r="H974">
        <v>0</v>
      </c>
      <c r="I974">
        <v>23</v>
      </c>
    </row>
    <row r="975" spans="1:9">
      <c r="A975" t="s">
        <v>2413</v>
      </c>
      <c r="B975" t="s">
        <v>2414</v>
      </c>
      <c r="C975" t="s">
        <v>47</v>
      </c>
      <c r="D975" t="s">
        <v>14</v>
      </c>
      <c r="E975" t="s">
        <v>42</v>
      </c>
      <c r="F975" t="s">
        <v>2415</v>
      </c>
      <c r="G975" t="s">
        <v>17</v>
      </c>
      <c r="H975">
        <v>0</v>
      </c>
      <c r="I975">
        <v>20</v>
      </c>
    </row>
    <row r="976" spans="1:9">
      <c r="A976" t="s">
        <v>2416</v>
      </c>
      <c r="B976" t="s">
        <v>2417</v>
      </c>
      <c r="C976" t="s">
        <v>63</v>
      </c>
      <c r="D976" t="s">
        <v>36</v>
      </c>
      <c r="E976" t="s">
        <v>42</v>
      </c>
      <c r="F976" t="s">
        <v>2349</v>
      </c>
      <c r="G976" t="s">
        <v>25</v>
      </c>
      <c r="H976">
        <v>0</v>
      </c>
      <c r="I976">
        <v>22</v>
      </c>
    </row>
    <row r="977" spans="1:9">
      <c r="A977" t="s">
        <v>2418</v>
      </c>
      <c r="B977" t="s">
        <v>2419</v>
      </c>
      <c r="C977" t="s">
        <v>13</v>
      </c>
      <c r="D977" t="s">
        <v>22</v>
      </c>
      <c r="E977" t="s">
        <v>30</v>
      </c>
      <c r="F977" t="s">
        <v>358</v>
      </c>
      <c r="G977" t="s">
        <v>17</v>
      </c>
      <c r="H977">
        <v>0</v>
      </c>
      <c r="I977">
        <v>8</v>
      </c>
    </row>
    <row r="978" spans="1:9">
      <c r="A978" t="s">
        <v>2420</v>
      </c>
      <c r="B978" t="s">
        <v>2421</v>
      </c>
      <c r="C978" t="s">
        <v>21</v>
      </c>
      <c r="D978" t="s">
        <v>22</v>
      </c>
      <c r="E978" t="s">
        <v>30</v>
      </c>
      <c r="F978" t="s">
        <v>1758</v>
      </c>
      <c r="G978" t="s">
        <v>75</v>
      </c>
      <c r="H978">
        <v>0</v>
      </c>
      <c r="I978">
        <v>8</v>
      </c>
    </row>
    <row r="979" spans="1:9">
      <c r="A979" t="s">
        <v>2422</v>
      </c>
      <c r="B979" t="s">
        <v>2423</v>
      </c>
      <c r="C979" t="s">
        <v>47</v>
      </c>
      <c r="D979" t="s">
        <v>14</v>
      </c>
      <c r="E979" t="s">
        <v>42</v>
      </c>
      <c r="F979" t="s">
        <v>1306</v>
      </c>
      <c r="G979" t="s">
        <v>38</v>
      </c>
      <c r="H979">
        <v>0</v>
      </c>
      <c r="I979">
        <v>1</v>
      </c>
    </row>
    <row r="980" spans="1:9">
      <c r="A980" t="s">
        <v>2424</v>
      </c>
      <c r="B980" t="s">
        <v>2425</v>
      </c>
      <c r="C980" t="s">
        <v>13</v>
      </c>
      <c r="D980" t="s">
        <v>22</v>
      </c>
      <c r="E980" t="s">
        <v>23</v>
      </c>
      <c r="F980" t="s">
        <v>221</v>
      </c>
      <c r="G980" t="s">
        <v>54</v>
      </c>
      <c r="H980">
        <v>363466</v>
      </c>
      <c r="I980">
        <v>15</v>
      </c>
    </row>
    <row r="981" spans="1:9">
      <c r="A981" t="s">
        <v>2426</v>
      </c>
      <c r="B981" t="s">
        <v>2427</v>
      </c>
      <c r="C981" t="s">
        <v>63</v>
      </c>
      <c r="D981" t="s">
        <v>78</v>
      </c>
      <c r="E981" t="s">
        <v>15</v>
      </c>
      <c r="F981" t="s">
        <v>1804</v>
      </c>
      <c r="G981" t="s">
        <v>75</v>
      </c>
      <c r="H981">
        <v>0</v>
      </c>
      <c r="I981">
        <v>28</v>
      </c>
    </row>
    <row r="982" spans="1:9">
      <c r="A982" t="s">
        <v>2428</v>
      </c>
      <c r="B982" t="s">
        <v>2429</v>
      </c>
      <c r="C982" t="s">
        <v>29</v>
      </c>
      <c r="D982" t="s">
        <v>36</v>
      </c>
      <c r="E982" t="s">
        <v>30</v>
      </c>
      <c r="F982" t="s">
        <v>1003</v>
      </c>
      <c r="G982" t="s">
        <v>54</v>
      </c>
      <c r="H982">
        <v>393092</v>
      </c>
      <c r="I982">
        <v>2</v>
      </c>
    </row>
    <row r="983" spans="1:9">
      <c r="A983" t="s">
        <v>2430</v>
      </c>
      <c r="B983" t="s">
        <v>2431</v>
      </c>
      <c r="C983" t="s">
        <v>35</v>
      </c>
      <c r="D983" t="s">
        <v>14</v>
      </c>
      <c r="E983" t="s">
        <v>23</v>
      </c>
      <c r="F983" t="s">
        <v>768</v>
      </c>
      <c r="G983" t="s">
        <v>17</v>
      </c>
      <c r="H983">
        <v>0</v>
      </c>
      <c r="I983">
        <v>20</v>
      </c>
    </row>
    <row r="984" spans="1:9">
      <c r="A984" t="s">
        <v>2432</v>
      </c>
      <c r="B984" t="s">
        <v>2433</v>
      </c>
      <c r="C984" t="s">
        <v>29</v>
      </c>
      <c r="D984" t="s">
        <v>58</v>
      </c>
      <c r="E984" t="s">
        <v>23</v>
      </c>
      <c r="F984" t="s">
        <v>129</v>
      </c>
      <c r="G984" t="s">
        <v>38</v>
      </c>
      <c r="H984">
        <v>0</v>
      </c>
      <c r="I984">
        <v>14</v>
      </c>
    </row>
    <row r="985" spans="1:9">
      <c r="A985" t="s">
        <v>2434</v>
      </c>
      <c r="B985" t="s">
        <v>2435</v>
      </c>
      <c r="C985" t="s">
        <v>63</v>
      </c>
      <c r="D985" t="s">
        <v>58</v>
      </c>
      <c r="E985" t="s">
        <v>15</v>
      </c>
      <c r="F985" t="s">
        <v>2436</v>
      </c>
      <c r="G985" t="s">
        <v>49</v>
      </c>
      <c r="H985">
        <v>0</v>
      </c>
      <c r="I985">
        <v>29</v>
      </c>
    </row>
    <row r="986" spans="1:9">
      <c r="A986" t="s">
        <v>2437</v>
      </c>
      <c r="B986" t="s">
        <v>2438</v>
      </c>
      <c r="C986" t="s">
        <v>35</v>
      </c>
      <c r="D986" t="s">
        <v>22</v>
      </c>
      <c r="E986" t="s">
        <v>42</v>
      </c>
      <c r="F986" t="s">
        <v>2303</v>
      </c>
      <c r="G986" t="s">
        <v>54</v>
      </c>
      <c r="H986">
        <v>474335</v>
      </c>
      <c r="I986">
        <v>19</v>
      </c>
    </row>
    <row r="987" spans="1:9">
      <c r="A987" t="s">
        <v>2439</v>
      </c>
      <c r="B987" t="s">
        <v>2440</v>
      </c>
      <c r="C987" t="s">
        <v>21</v>
      </c>
      <c r="D987" t="s">
        <v>36</v>
      </c>
      <c r="E987" t="s">
        <v>42</v>
      </c>
      <c r="F987" t="s">
        <v>1184</v>
      </c>
      <c r="G987" t="s">
        <v>49</v>
      </c>
      <c r="H987">
        <v>0</v>
      </c>
      <c r="I987">
        <v>12</v>
      </c>
    </row>
    <row r="988" spans="1:9">
      <c r="A988" t="s">
        <v>2441</v>
      </c>
      <c r="B988" t="s">
        <v>2442</v>
      </c>
      <c r="C988" t="s">
        <v>47</v>
      </c>
      <c r="D988" t="s">
        <v>14</v>
      </c>
      <c r="E988" t="s">
        <v>15</v>
      </c>
      <c r="F988" t="s">
        <v>331</v>
      </c>
      <c r="G988" t="s">
        <v>38</v>
      </c>
      <c r="H988">
        <v>0</v>
      </c>
      <c r="I988">
        <v>19</v>
      </c>
    </row>
    <row r="989" spans="1:9">
      <c r="A989" t="s">
        <v>2443</v>
      </c>
      <c r="B989" t="s">
        <v>2444</v>
      </c>
      <c r="C989" t="s">
        <v>63</v>
      </c>
      <c r="D989" t="s">
        <v>78</v>
      </c>
      <c r="E989" t="s">
        <v>23</v>
      </c>
      <c r="F989" t="s">
        <v>105</v>
      </c>
      <c r="G989" t="s">
        <v>75</v>
      </c>
      <c r="H989">
        <v>0</v>
      </c>
      <c r="I989">
        <v>9</v>
      </c>
    </row>
    <row r="990" spans="1:9">
      <c r="A990" t="s">
        <v>2445</v>
      </c>
      <c r="B990" t="s">
        <v>2446</v>
      </c>
      <c r="C990" t="s">
        <v>63</v>
      </c>
      <c r="D990" t="s">
        <v>22</v>
      </c>
      <c r="E990" t="s">
        <v>73</v>
      </c>
      <c r="F990" t="s">
        <v>749</v>
      </c>
      <c r="G990" t="s">
        <v>75</v>
      </c>
      <c r="H990">
        <v>0</v>
      </c>
      <c r="I990">
        <v>3</v>
      </c>
    </row>
    <row r="991" spans="1:9">
      <c r="A991" t="s">
        <v>2447</v>
      </c>
      <c r="B991" t="s">
        <v>2448</v>
      </c>
      <c r="C991" t="s">
        <v>47</v>
      </c>
      <c r="D991" t="s">
        <v>58</v>
      </c>
      <c r="E991" t="s">
        <v>23</v>
      </c>
      <c r="F991" t="s">
        <v>1516</v>
      </c>
      <c r="G991" t="s">
        <v>17</v>
      </c>
      <c r="H991">
        <v>0</v>
      </c>
      <c r="I991">
        <v>17</v>
      </c>
    </row>
    <row r="992" spans="1:9">
      <c r="A992" t="s">
        <v>2449</v>
      </c>
      <c r="B992" t="s">
        <v>2450</v>
      </c>
      <c r="C992" t="s">
        <v>29</v>
      </c>
      <c r="D992" t="s">
        <v>36</v>
      </c>
      <c r="E992" t="s">
        <v>42</v>
      </c>
      <c r="F992" t="s">
        <v>1291</v>
      </c>
      <c r="G992" t="s">
        <v>49</v>
      </c>
      <c r="H992">
        <v>0</v>
      </c>
      <c r="I992">
        <v>15</v>
      </c>
    </row>
    <row r="993" spans="1:9">
      <c r="A993" t="s">
        <v>2451</v>
      </c>
      <c r="B993" t="s">
        <v>2452</v>
      </c>
      <c r="C993" t="s">
        <v>63</v>
      </c>
      <c r="D993" t="s">
        <v>36</v>
      </c>
      <c r="E993" t="s">
        <v>30</v>
      </c>
      <c r="F993" t="s">
        <v>241</v>
      </c>
      <c r="G993" t="s">
        <v>25</v>
      </c>
      <c r="H993">
        <v>0</v>
      </c>
      <c r="I993">
        <v>2</v>
      </c>
    </row>
    <row r="994" spans="1:9">
      <c r="A994" t="s">
        <v>2453</v>
      </c>
      <c r="B994" t="s">
        <v>2454</v>
      </c>
      <c r="C994" t="s">
        <v>13</v>
      </c>
      <c r="D994" t="s">
        <v>58</v>
      </c>
      <c r="E994" t="s">
        <v>30</v>
      </c>
      <c r="F994" t="s">
        <v>164</v>
      </c>
      <c r="G994" t="s">
        <v>54</v>
      </c>
      <c r="H994">
        <v>202065</v>
      </c>
      <c r="I994">
        <v>2</v>
      </c>
    </row>
    <row r="995" spans="1:9">
      <c r="A995" t="s">
        <v>2455</v>
      </c>
      <c r="B995" t="s">
        <v>2456</v>
      </c>
      <c r="C995" t="s">
        <v>13</v>
      </c>
      <c r="D995" t="s">
        <v>14</v>
      </c>
      <c r="E995" t="s">
        <v>73</v>
      </c>
      <c r="F995" t="s">
        <v>2262</v>
      </c>
      <c r="G995" t="s">
        <v>17</v>
      </c>
      <c r="H995">
        <v>0</v>
      </c>
      <c r="I995">
        <v>13</v>
      </c>
    </row>
    <row r="996" spans="1:9">
      <c r="A996" t="s">
        <v>2457</v>
      </c>
      <c r="B996" t="s">
        <v>2458</v>
      </c>
      <c r="C996" t="s">
        <v>21</v>
      </c>
      <c r="D996" t="s">
        <v>36</v>
      </c>
      <c r="E996" t="s">
        <v>42</v>
      </c>
      <c r="F996" t="s">
        <v>244</v>
      </c>
      <c r="G996" t="s">
        <v>49</v>
      </c>
      <c r="H996">
        <v>0</v>
      </c>
      <c r="I996">
        <v>12</v>
      </c>
    </row>
    <row r="997" spans="1:9">
      <c r="A997" t="s">
        <v>2459</v>
      </c>
      <c r="B997" t="s">
        <v>2460</v>
      </c>
      <c r="C997" t="s">
        <v>21</v>
      </c>
      <c r="D997" t="s">
        <v>78</v>
      </c>
      <c r="E997" t="s">
        <v>73</v>
      </c>
      <c r="F997" t="s">
        <v>319</v>
      </c>
      <c r="G997" t="s">
        <v>17</v>
      </c>
      <c r="H997">
        <v>0</v>
      </c>
      <c r="I997">
        <v>4</v>
      </c>
    </row>
    <row r="998" spans="1:9">
      <c r="A998" t="s">
        <v>2461</v>
      </c>
      <c r="B998" t="s">
        <v>2462</v>
      </c>
      <c r="C998" t="s">
        <v>29</v>
      </c>
      <c r="D998" t="s">
        <v>14</v>
      </c>
      <c r="E998" t="s">
        <v>42</v>
      </c>
      <c r="F998" t="s">
        <v>480</v>
      </c>
      <c r="G998" t="s">
        <v>17</v>
      </c>
      <c r="H998">
        <v>0</v>
      </c>
      <c r="I998">
        <v>2</v>
      </c>
    </row>
    <row r="999" spans="1:9">
      <c r="A999" t="s">
        <v>2463</v>
      </c>
      <c r="B999" t="s">
        <v>2464</v>
      </c>
      <c r="C999" t="s">
        <v>47</v>
      </c>
      <c r="D999" t="s">
        <v>58</v>
      </c>
      <c r="E999" t="s">
        <v>73</v>
      </c>
      <c r="F999" t="s">
        <v>322</v>
      </c>
      <c r="G999" t="s">
        <v>17</v>
      </c>
      <c r="H999">
        <v>0</v>
      </c>
      <c r="I999">
        <v>30</v>
      </c>
    </row>
    <row r="1000" spans="1:9">
      <c r="A1000" t="s">
        <v>2465</v>
      </c>
      <c r="B1000" t="s">
        <v>2466</v>
      </c>
      <c r="C1000" t="s">
        <v>47</v>
      </c>
      <c r="D1000" t="s">
        <v>14</v>
      </c>
      <c r="E1000" t="s">
        <v>42</v>
      </c>
      <c r="F1000" t="s">
        <v>1470</v>
      </c>
      <c r="G1000" t="s">
        <v>25</v>
      </c>
      <c r="H1000">
        <v>0</v>
      </c>
      <c r="I1000">
        <v>8</v>
      </c>
    </row>
    <row r="1001" spans="1:9">
      <c r="A1001" t="s">
        <v>2467</v>
      </c>
      <c r="B1001" t="s">
        <v>2468</v>
      </c>
      <c r="C1001" t="s">
        <v>63</v>
      </c>
      <c r="D1001" t="s">
        <v>78</v>
      </c>
      <c r="E1001" t="s">
        <v>30</v>
      </c>
      <c r="F1001" t="s">
        <v>215</v>
      </c>
      <c r="G1001" t="s">
        <v>54</v>
      </c>
      <c r="H1001">
        <v>446454</v>
      </c>
      <c r="I1001">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1"/>
  <sheetViews>
    <sheetView workbookViewId="0">
      <selection sqref="A1:G501"/>
    </sheetView>
  </sheetViews>
  <sheetFormatPr defaultRowHeight="15"/>
  <cols>
    <col min="1" max="1" width="14.5703125" bestFit="1" customWidth="1"/>
    <col min="2" max="2" width="18.140625" bestFit="1" customWidth="1"/>
    <col min="3" max="3" width="20.5703125" bestFit="1" customWidth="1"/>
    <col min="4" max="4" width="19.140625" bestFit="1" customWidth="1"/>
    <col min="5" max="5" width="12.7109375" bestFit="1" customWidth="1"/>
    <col min="6" max="6" width="16" bestFit="1" customWidth="1"/>
    <col min="7" max="7" width="16.85546875" bestFit="1" customWidth="1"/>
  </cols>
  <sheetData>
    <row r="1" spans="1:7">
      <c r="A1" s="1" t="s">
        <v>2469</v>
      </c>
      <c r="B1" s="1" t="s">
        <v>1</v>
      </c>
      <c r="C1" s="1" t="s">
        <v>2470</v>
      </c>
      <c r="D1" s="1" t="s">
        <v>2471</v>
      </c>
      <c r="E1" s="1" t="s">
        <v>2472</v>
      </c>
      <c r="F1" s="1" t="s">
        <v>2473</v>
      </c>
      <c r="G1" s="1" t="s">
        <v>2474</v>
      </c>
    </row>
    <row r="2" spans="1:7">
      <c r="A2" t="s">
        <v>2475</v>
      </c>
      <c r="B2" t="s">
        <v>413</v>
      </c>
      <c r="C2" t="s">
        <v>2476</v>
      </c>
      <c r="D2" t="s">
        <v>2477</v>
      </c>
      <c r="E2">
        <v>2</v>
      </c>
      <c r="F2">
        <v>3</v>
      </c>
      <c r="G2" t="s">
        <v>59</v>
      </c>
    </row>
    <row r="3" spans="1:7">
      <c r="A3" t="s">
        <v>2478</v>
      </c>
      <c r="B3" t="s">
        <v>943</v>
      </c>
      <c r="C3" t="s">
        <v>2479</v>
      </c>
      <c r="D3" t="s">
        <v>2480</v>
      </c>
      <c r="E3">
        <v>4</v>
      </c>
      <c r="F3">
        <v>5</v>
      </c>
      <c r="G3" t="s">
        <v>209</v>
      </c>
    </row>
    <row r="4" spans="1:7">
      <c r="A4" t="s">
        <v>2481</v>
      </c>
      <c r="B4" t="s">
        <v>1418</v>
      </c>
      <c r="C4" t="s">
        <v>2482</v>
      </c>
      <c r="D4" t="s">
        <v>2480</v>
      </c>
      <c r="E4">
        <v>4</v>
      </c>
      <c r="F4">
        <v>4</v>
      </c>
      <c r="G4" t="s">
        <v>59</v>
      </c>
    </row>
    <row r="5" spans="1:7">
      <c r="A5" t="s">
        <v>2483</v>
      </c>
      <c r="B5" t="s">
        <v>2233</v>
      </c>
      <c r="C5" t="s">
        <v>2482</v>
      </c>
      <c r="D5" t="s">
        <v>2477</v>
      </c>
      <c r="E5">
        <v>1</v>
      </c>
      <c r="F5">
        <v>5</v>
      </c>
      <c r="G5" t="s">
        <v>1731</v>
      </c>
    </row>
    <row r="6" spans="1:7">
      <c r="A6" t="s">
        <v>2484</v>
      </c>
      <c r="B6" t="s">
        <v>143</v>
      </c>
      <c r="C6" t="s">
        <v>2485</v>
      </c>
      <c r="D6" t="s">
        <v>2477</v>
      </c>
      <c r="E6">
        <v>7</v>
      </c>
      <c r="F6">
        <v>4</v>
      </c>
      <c r="G6" t="s">
        <v>1790</v>
      </c>
    </row>
    <row r="7" spans="1:7">
      <c r="A7" t="s">
        <v>2486</v>
      </c>
      <c r="B7" t="s">
        <v>532</v>
      </c>
      <c r="C7" t="s">
        <v>2485</v>
      </c>
      <c r="D7" t="s">
        <v>2477</v>
      </c>
      <c r="E7">
        <v>7</v>
      </c>
      <c r="F7">
        <v>4</v>
      </c>
      <c r="G7" t="s">
        <v>1123</v>
      </c>
    </row>
    <row r="8" spans="1:7">
      <c r="A8" t="s">
        <v>2487</v>
      </c>
      <c r="B8" t="s">
        <v>1510</v>
      </c>
      <c r="C8" t="s">
        <v>2479</v>
      </c>
      <c r="D8" t="s">
        <v>2480</v>
      </c>
      <c r="E8">
        <v>9</v>
      </c>
      <c r="F8">
        <v>4</v>
      </c>
      <c r="G8" t="s">
        <v>1641</v>
      </c>
    </row>
    <row r="9" spans="1:7">
      <c r="A9" t="s">
        <v>2488</v>
      </c>
      <c r="B9" t="s">
        <v>1125</v>
      </c>
      <c r="C9" t="s">
        <v>2479</v>
      </c>
      <c r="D9" t="s">
        <v>2480</v>
      </c>
      <c r="E9">
        <v>4</v>
      </c>
      <c r="F9">
        <v>1</v>
      </c>
      <c r="G9" t="s">
        <v>1676</v>
      </c>
    </row>
    <row r="10" spans="1:7">
      <c r="A10" t="s">
        <v>2489</v>
      </c>
      <c r="B10" t="s">
        <v>1311</v>
      </c>
      <c r="C10" t="s">
        <v>2479</v>
      </c>
      <c r="D10" t="s">
        <v>2477</v>
      </c>
      <c r="E10">
        <v>1</v>
      </c>
      <c r="F10">
        <v>4</v>
      </c>
      <c r="G10" t="s">
        <v>1548</v>
      </c>
    </row>
    <row r="11" spans="1:7">
      <c r="A11" t="s">
        <v>2490</v>
      </c>
      <c r="B11" t="s">
        <v>637</v>
      </c>
      <c r="C11" t="s">
        <v>2485</v>
      </c>
      <c r="D11" t="s">
        <v>2491</v>
      </c>
      <c r="E11">
        <v>2</v>
      </c>
      <c r="F11">
        <v>3</v>
      </c>
      <c r="G11" t="s">
        <v>361</v>
      </c>
    </row>
    <row r="12" spans="1:7">
      <c r="A12" t="s">
        <v>2492</v>
      </c>
      <c r="B12" t="s">
        <v>2038</v>
      </c>
      <c r="C12" t="s">
        <v>2493</v>
      </c>
      <c r="D12" t="s">
        <v>2477</v>
      </c>
      <c r="E12">
        <v>9</v>
      </c>
      <c r="F12">
        <v>5</v>
      </c>
      <c r="G12" t="s">
        <v>622</v>
      </c>
    </row>
    <row r="13" spans="1:7">
      <c r="A13" t="s">
        <v>2494</v>
      </c>
      <c r="B13" t="s">
        <v>633</v>
      </c>
      <c r="C13" t="s">
        <v>2476</v>
      </c>
      <c r="D13" t="s">
        <v>2480</v>
      </c>
      <c r="E13">
        <v>8</v>
      </c>
      <c r="F13">
        <v>2</v>
      </c>
      <c r="G13" t="s">
        <v>465</v>
      </c>
    </row>
    <row r="14" spans="1:7">
      <c r="A14" t="s">
        <v>2495</v>
      </c>
      <c r="B14" t="s">
        <v>1047</v>
      </c>
      <c r="C14" t="s">
        <v>2493</v>
      </c>
      <c r="D14" t="s">
        <v>2477</v>
      </c>
      <c r="E14">
        <v>4</v>
      </c>
      <c r="F14">
        <v>2</v>
      </c>
      <c r="G14" t="s">
        <v>760</v>
      </c>
    </row>
    <row r="15" spans="1:7">
      <c r="A15" t="s">
        <v>2496</v>
      </c>
      <c r="B15" t="s">
        <v>1970</v>
      </c>
      <c r="C15" t="s">
        <v>2479</v>
      </c>
      <c r="D15" t="s">
        <v>2491</v>
      </c>
      <c r="E15">
        <v>7</v>
      </c>
      <c r="F15">
        <v>5</v>
      </c>
      <c r="G15" t="s">
        <v>1259</v>
      </c>
    </row>
    <row r="16" spans="1:7">
      <c r="A16" t="s">
        <v>2497</v>
      </c>
      <c r="B16" t="s">
        <v>743</v>
      </c>
      <c r="C16" t="s">
        <v>2485</v>
      </c>
      <c r="D16" t="s">
        <v>2477</v>
      </c>
      <c r="E16">
        <v>6</v>
      </c>
      <c r="F16">
        <v>2</v>
      </c>
      <c r="G16" t="s">
        <v>2498</v>
      </c>
    </row>
    <row r="17" spans="1:7">
      <c r="A17" t="s">
        <v>2499</v>
      </c>
      <c r="B17" t="s">
        <v>2177</v>
      </c>
      <c r="C17" t="s">
        <v>2493</v>
      </c>
      <c r="D17" t="s">
        <v>2480</v>
      </c>
      <c r="E17">
        <v>7</v>
      </c>
      <c r="F17">
        <v>4</v>
      </c>
      <c r="G17" t="s">
        <v>1753</v>
      </c>
    </row>
    <row r="18" spans="1:7">
      <c r="A18" t="s">
        <v>2500</v>
      </c>
      <c r="B18" t="s">
        <v>1506</v>
      </c>
      <c r="C18" t="s">
        <v>2493</v>
      </c>
      <c r="D18" t="s">
        <v>2477</v>
      </c>
      <c r="E18">
        <v>6</v>
      </c>
      <c r="F18">
        <v>2</v>
      </c>
      <c r="G18" t="s">
        <v>1189</v>
      </c>
    </row>
    <row r="19" spans="1:7">
      <c r="A19" t="s">
        <v>2501</v>
      </c>
      <c r="B19" t="s">
        <v>1382</v>
      </c>
      <c r="C19" t="s">
        <v>2482</v>
      </c>
      <c r="D19" t="s">
        <v>2491</v>
      </c>
      <c r="E19">
        <v>5</v>
      </c>
      <c r="F19">
        <v>3</v>
      </c>
      <c r="G19" t="s">
        <v>1541</v>
      </c>
    </row>
    <row r="20" spans="1:7">
      <c r="A20" t="s">
        <v>2502</v>
      </c>
      <c r="B20" t="s">
        <v>1359</v>
      </c>
      <c r="C20" t="s">
        <v>2493</v>
      </c>
      <c r="D20" t="s">
        <v>2477</v>
      </c>
      <c r="E20">
        <v>10</v>
      </c>
      <c r="F20">
        <v>1</v>
      </c>
      <c r="G20" t="s">
        <v>369</v>
      </c>
    </row>
    <row r="21" spans="1:7">
      <c r="A21" t="s">
        <v>2503</v>
      </c>
      <c r="B21" t="s">
        <v>1002</v>
      </c>
      <c r="C21" t="s">
        <v>2479</v>
      </c>
      <c r="D21" t="s">
        <v>2504</v>
      </c>
      <c r="E21">
        <v>4</v>
      </c>
      <c r="F21">
        <v>1</v>
      </c>
      <c r="G21" t="s">
        <v>442</v>
      </c>
    </row>
    <row r="22" spans="1:7">
      <c r="A22" t="s">
        <v>2505</v>
      </c>
      <c r="B22" t="s">
        <v>2230</v>
      </c>
      <c r="C22" t="s">
        <v>2479</v>
      </c>
      <c r="D22" t="s">
        <v>2504</v>
      </c>
      <c r="E22">
        <v>4</v>
      </c>
      <c r="F22">
        <v>5</v>
      </c>
      <c r="G22" t="s">
        <v>1169</v>
      </c>
    </row>
    <row r="23" spans="1:7">
      <c r="A23" t="s">
        <v>2506</v>
      </c>
      <c r="B23" t="s">
        <v>1196</v>
      </c>
      <c r="C23" t="s">
        <v>2476</v>
      </c>
      <c r="D23" t="s">
        <v>2480</v>
      </c>
      <c r="E23">
        <v>9</v>
      </c>
      <c r="F23">
        <v>2</v>
      </c>
      <c r="G23" t="s">
        <v>530</v>
      </c>
    </row>
    <row r="24" spans="1:7">
      <c r="A24" t="s">
        <v>2507</v>
      </c>
      <c r="B24" t="s">
        <v>482</v>
      </c>
      <c r="C24" t="s">
        <v>2485</v>
      </c>
      <c r="D24" t="s">
        <v>2477</v>
      </c>
      <c r="E24">
        <v>9</v>
      </c>
      <c r="F24">
        <v>5</v>
      </c>
      <c r="G24" t="s">
        <v>1174</v>
      </c>
    </row>
    <row r="25" spans="1:7">
      <c r="A25" t="s">
        <v>2508</v>
      </c>
      <c r="B25" t="s">
        <v>1308</v>
      </c>
      <c r="C25" t="s">
        <v>2485</v>
      </c>
      <c r="D25" t="s">
        <v>2480</v>
      </c>
      <c r="E25">
        <v>1</v>
      </c>
      <c r="F25">
        <v>2</v>
      </c>
      <c r="G25" t="s">
        <v>1985</v>
      </c>
    </row>
    <row r="26" spans="1:7">
      <c r="A26" t="s">
        <v>2509</v>
      </c>
      <c r="B26" t="s">
        <v>504</v>
      </c>
      <c r="C26" t="s">
        <v>2485</v>
      </c>
      <c r="D26" t="s">
        <v>2504</v>
      </c>
      <c r="E26">
        <v>3</v>
      </c>
      <c r="F26">
        <v>4</v>
      </c>
      <c r="G26" t="s">
        <v>99</v>
      </c>
    </row>
    <row r="27" spans="1:7">
      <c r="A27" t="s">
        <v>2510</v>
      </c>
      <c r="B27" t="s">
        <v>420</v>
      </c>
      <c r="C27" t="s">
        <v>2482</v>
      </c>
      <c r="D27" t="s">
        <v>2480</v>
      </c>
      <c r="E27">
        <v>7</v>
      </c>
      <c r="F27">
        <v>4</v>
      </c>
      <c r="G27" t="s">
        <v>992</v>
      </c>
    </row>
    <row r="28" spans="1:7">
      <c r="A28" t="s">
        <v>2511</v>
      </c>
      <c r="B28" t="s">
        <v>324</v>
      </c>
      <c r="C28" t="s">
        <v>2482</v>
      </c>
      <c r="D28" t="s">
        <v>2480</v>
      </c>
      <c r="E28">
        <v>10</v>
      </c>
      <c r="F28">
        <v>5</v>
      </c>
      <c r="G28" t="s">
        <v>1383</v>
      </c>
    </row>
    <row r="29" spans="1:7">
      <c r="A29" t="s">
        <v>2512</v>
      </c>
      <c r="B29" t="s">
        <v>852</v>
      </c>
      <c r="C29" t="s">
        <v>2482</v>
      </c>
      <c r="D29" t="s">
        <v>2491</v>
      </c>
      <c r="E29">
        <v>2</v>
      </c>
      <c r="F29">
        <v>5</v>
      </c>
      <c r="G29" t="s">
        <v>591</v>
      </c>
    </row>
    <row r="30" spans="1:7">
      <c r="A30" t="s">
        <v>2513</v>
      </c>
      <c r="B30" t="s">
        <v>588</v>
      </c>
      <c r="C30" t="s">
        <v>2485</v>
      </c>
      <c r="D30" t="s">
        <v>2504</v>
      </c>
      <c r="E30">
        <v>9</v>
      </c>
      <c r="F30">
        <v>1</v>
      </c>
      <c r="G30" t="s">
        <v>275</v>
      </c>
    </row>
    <row r="31" spans="1:7">
      <c r="A31" t="s">
        <v>2514</v>
      </c>
      <c r="B31" t="s">
        <v>834</v>
      </c>
      <c r="C31" t="s">
        <v>2485</v>
      </c>
      <c r="D31" t="s">
        <v>2504</v>
      </c>
      <c r="E31">
        <v>7</v>
      </c>
      <c r="F31">
        <v>1</v>
      </c>
      <c r="G31" t="s">
        <v>2515</v>
      </c>
    </row>
    <row r="32" spans="1:7">
      <c r="A32" t="s">
        <v>2516</v>
      </c>
      <c r="B32" t="s">
        <v>808</v>
      </c>
      <c r="C32" t="s">
        <v>2485</v>
      </c>
      <c r="D32" t="s">
        <v>2491</v>
      </c>
      <c r="E32">
        <v>5</v>
      </c>
      <c r="F32">
        <v>1</v>
      </c>
      <c r="G32" t="s">
        <v>1416</v>
      </c>
    </row>
    <row r="33" spans="1:7">
      <c r="A33" t="s">
        <v>2517</v>
      </c>
      <c r="B33" t="s">
        <v>679</v>
      </c>
      <c r="C33" t="s">
        <v>2479</v>
      </c>
      <c r="D33" t="s">
        <v>2480</v>
      </c>
      <c r="E33">
        <v>9</v>
      </c>
      <c r="F33">
        <v>2</v>
      </c>
      <c r="G33" t="s">
        <v>2518</v>
      </c>
    </row>
    <row r="34" spans="1:7">
      <c r="A34" t="s">
        <v>2519</v>
      </c>
      <c r="B34" t="s">
        <v>949</v>
      </c>
      <c r="C34" t="s">
        <v>2485</v>
      </c>
      <c r="D34" t="s">
        <v>2504</v>
      </c>
      <c r="E34">
        <v>8</v>
      </c>
      <c r="F34">
        <v>3</v>
      </c>
      <c r="G34" t="s">
        <v>1147</v>
      </c>
    </row>
    <row r="35" spans="1:7">
      <c r="A35" t="s">
        <v>2520</v>
      </c>
      <c r="B35" t="s">
        <v>1268</v>
      </c>
      <c r="C35" t="s">
        <v>2479</v>
      </c>
      <c r="D35" t="s">
        <v>2480</v>
      </c>
      <c r="E35">
        <v>5</v>
      </c>
      <c r="F35">
        <v>5</v>
      </c>
      <c r="G35" t="s">
        <v>405</v>
      </c>
    </row>
    <row r="36" spans="1:7">
      <c r="A36" t="s">
        <v>2521</v>
      </c>
      <c r="B36" t="s">
        <v>2199</v>
      </c>
      <c r="C36" t="s">
        <v>2476</v>
      </c>
      <c r="D36" t="s">
        <v>2477</v>
      </c>
      <c r="E36">
        <v>7</v>
      </c>
      <c r="F36">
        <v>5</v>
      </c>
      <c r="G36" t="s">
        <v>765</v>
      </c>
    </row>
    <row r="37" spans="1:7">
      <c r="A37" t="s">
        <v>2522</v>
      </c>
      <c r="B37" t="s">
        <v>875</v>
      </c>
      <c r="C37" t="s">
        <v>2493</v>
      </c>
      <c r="D37" t="s">
        <v>2477</v>
      </c>
      <c r="E37">
        <v>10</v>
      </c>
      <c r="F37">
        <v>4</v>
      </c>
      <c r="G37" t="s">
        <v>346</v>
      </c>
    </row>
    <row r="38" spans="1:7">
      <c r="A38" t="s">
        <v>2523</v>
      </c>
      <c r="B38" t="s">
        <v>1105</v>
      </c>
      <c r="C38" t="s">
        <v>2493</v>
      </c>
      <c r="D38" t="s">
        <v>2504</v>
      </c>
      <c r="E38">
        <v>4</v>
      </c>
      <c r="F38">
        <v>4</v>
      </c>
      <c r="G38" t="s">
        <v>488</v>
      </c>
    </row>
    <row r="39" spans="1:7">
      <c r="A39" t="s">
        <v>2524</v>
      </c>
      <c r="B39" t="s">
        <v>2215</v>
      </c>
      <c r="C39" t="s">
        <v>2476</v>
      </c>
      <c r="D39" t="s">
        <v>2480</v>
      </c>
      <c r="E39">
        <v>1</v>
      </c>
      <c r="F39">
        <v>5</v>
      </c>
      <c r="G39" t="s">
        <v>1964</v>
      </c>
    </row>
    <row r="40" spans="1:7">
      <c r="A40" t="s">
        <v>2525</v>
      </c>
      <c r="B40" t="s">
        <v>1796</v>
      </c>
      <c r="C40" t="s">
        <v>2476</v>
      </c>
      <c r="D40" t="s">
        <v>2491</v>
      </c>
      <c r="E40">
        <v>10</v>
      </c>
      <c r="F40">
        <v>3</v>
      </c>
      <c r="G40" t="s">
        <v>126</v>
      </c>
    </row>
    <row r="41" spans="1:7">
      <c r="A41" t="s">
        <v>2526</v>
      </c>
      <c r="B41" t="s">
        <v>1750</v>
      </c>
      <c r="C41" t="s">
        <v>2493</v>
      </c>
      <c r="D41" t="s">
        <v>2504</v>
      </c>
      <c r="E41">
        <v>7</v>
      </c>
      <c r="F41">
        <v>3</v>
      </c>
      <c r="G41" t="s">
        <v>1797</v>
      </c>
    </row>
    <row r="42" spans="1:7">
      <c r="A42" t="s">
        <v>2527</v>
      </c>
      <c r="B42" t="s">
        <v>1039</v>
      </c>
      <c r="C42" t="s">
        <v>2482</v>
      </c>
      <c r="D42" t="s">
        <v>2477</v>
      </c>
      <c r="E42">
        <v>10</v>
      </c>
      <c r="F42">
        <v>5</v>
      </c>
      <c r="G42" t="s">
        <v>164</v>
      </c>
    </row>
    <row r="43" spans="1:7">
      <c r="A43" t="s">
        <v>2528</v>
      </c>
      <c r="B43" t="s">
        <v>1630</v>
      </c>
      <c r="C43" t="s">
        <v>2493</v>
      </c>
      <c r="D43" t="s">
        <v>2477</v>
      </c>
      <c r="E43">
        <v>4</v>
      </c>
      <c r="F43">
        <v>1</v>
      </c>
      <c r="G43" t="s">
        <v>414</v>
      </c>
    </row>
    <row r="44" spans="1:7">
      <c r="A44" t="s">
        <v>2529</v>
      </c>
      <c r="B44" t="s">
        <v>870</v>
      </c>
      <c r="C44" t="s">
        <v>2476</v>
      </c>
      <c r="D44" t="s">
        <v>2491</v>
      </c>
      <c r="E44">
        <v>1</v>
      </c>
      <c r="F44">
        <v>3</v>
      </c>
      <c r="G44" t="s">
        <v>980</v>
      </c>
    </row>
    <row r="45" spans="1:7">
      <c r="A45" t="s">
        <v>2530</v>
      </c>
      <c r="B45" t="s">
        <v>1143</v>
      </c>
      <c r="C45" t="s">
        <v>2493</v>
      </c>
      <c r="D45" t="s">
        <v>2480</v>
      </c>
      <c r="E45">
        <v>2</v>
      </c>
      <c r="F45">
        <v>3</v>
      </c>
      <c r="G45" t="s">
        <v>24</v>
      </c>
    </row>
    <row r="46" spans="1:7">
      <c r="A46" t="s">
        <v>2531</v>
      </c>
      <c r="B46" t="s">
        <v>2135</v>
      </c>
      <c r="C46" t="s">
        <v>2493</v>
      </c>
      <c r="D46" t="s">
        <v>2477</v>
      </c>
      <c r="E46">
        <v>7</v>
      </c>
      <c r="F46">
        <v>2</v>
      </c>
      <c r="G46" t="s">
        <v>1042</v>
      </c>
    </row>
    <row r="47" spans="1:7">
      <c r="A47" t="s">
        <v>2532</v>
      </c>
      <c r="B47" t="s">
        <v>1352</v>
      </c>
      <c r="C47" t="s">
        <v>2476</v>
      </c>
      <c r="D47" t="s">
        <v>2491</v>
      </c>
      <c r="E47">
        <v>3</v>
      </c>
      <c r="F47">
        <v>2</v>
      </c>
      <c r="G47" t="s">
        <v>2342</v>
      </c>
    </row>
    <row r="48" spans="1:7">
      <c r="A48" t="s">
        <v>2533</v>
      </c>
      <c r="B48" t="s">
        <v>553</v>
      </c>
      <c r="C48" t="s">
        <v>2485</v>
      </c>
      <c r="D48" t="s">
        <v>2480</v>
      </c>
      <c r="E48">
        <v>2</v>
      </c>
      <c r="F48">
        <v>4</v>
      </c>
      <c r="G48" t="s">
        <v>1617</v>
      </c>
    </row>
    <row r="49" spans="1:7">
      <c r="A49" t="s">
        <v>2534</v>
      </c>
      <c r="B49" t="s">
        <v>2427</v>
      </c>
      <c r="C49" t="s">
        <v>2493</v>
      </c>
      <c r="D49" t="s">
        <v>2480</v>
      </c>
      <c r="E49">
        <v>3</v>
      </c>
      <c r="F49">
        <v>4</v>
      </c>
      <c r="G49" t="s">
        <v>2339</v>
      </c>
    </row>
    <row r="50" spans="1:7">
      <c r="A50" t="s">
        <v>2535</v>
      </c>
      <c r="B50" t="s">
        <v>2417</v>
      </c>
      <c r="C50" t="s">
        <v>2493</v>
      </c>
      <c r="D50" t="s">
        <v>2477</v>
      </c>
      <c r="E50">
        <v>9</v>
      </c>
      <c r="F50">
        <v>2</v>
      </c>
      <c r="G50" t="s">
        <v>866</v>
      </c>
    </row>
    <row r="51" spans="1:7">
      <c r="A51" t="s">
        <v>2536</v>
      </c>
      <c r="B51" t="s">
        <v>385</v>
      </c>
      <c r="C51" t="s">
        <v>2485</v>
      </c>
      <c r="D51" t="s">
        <v>2480</v>
      </c>
      <c r="E51">
        <v>6</v>
      </c>
      <c r="F51">
        <v>4</v>
      </c>
      <c r="G51" t="s">
        <v>527</v>
      </c>
    </row>
    <row r="52" spans="1:7">
      <c r="A52" t="s">
        <v>2537</v>
      </c>
      <c r="B52" t="s">
        <v>1972</v>
      </c>
      <c r="C52" t="s">
        <v>2493</v>
      </c>
      <c r="D52" t="s">
        <v>2477</v>
      </c>
      <c r="E52">
        <v>7</v>
      </c>
      <c r="F52">
        <v>2</v>
      </c>
      <c r="G52" t="s">
        <v>392</v>
      </c>
    </row>
    <row r="53" spans="1:7">
      <c r="A53" t="s">
        <v>2538</v>
      </c>
      <c r="B53" t="s">
        <v>2235</v>
      </c>
      <c r="C53" t="s">
        <v>2476</v>
      </c>
      <c r="D53" t="s">
        <v>2480</v>
      </c>
      <c r="E53">
        <v>5</v>
      </c>
      <c r="F53">
        <v>2</v>
      </c>
      <c r="G53" t="s">
        <v>328</v>
      </c>
    </row>
    <row r="54" spans="1:7">
      <c r="A54" t="s">
        <v>2539</v>
      </c>
      <c r="B54" t="s">
        <v>348</v>
      </c>
      <c r="C54" t="s">
        <v>2485</v>
      </c>
      <c r="D54" t="s">
        <v>2491</v>
      </c>
      <c r="E54">
        <v>10</v>
      </c>
      <c r="F54">
        <v>4</v>
      </c>
      <c r="G54" t="s">
        <v>741</v>
      </c>
    </row>
    <row r="55" spans="1:7">
      <c r="A55" t="s">
        <v>2540</v>
      </c>
      <c r="B55" t="s">
        <v>2407</v>
      </c>
      <c r="C55" t="s">
        <v>2476</v>
      </c>
      <c r="D55" t="s">
        <v>2480</v>
      </c>
      <c r="E55">
        <v>5</v>
      </c>
      <c r="F55">
        <v>4</v>
      </c>
      <c r="G55" t="s">
        <v>99</v>
      </c>
    </row>
    <row r="56" spans="1:7">
      <c r="A56" t="s">
        <v>2541</v>
      </c>
      <c r="B56" t="s">
        <v>743</v>
      </c>
      <c r="C56" t="s">
        <v>2476</v>
      </c>
      <c r="D56" t="s">
        <v>2480</v>
      </c>
      <c r="E56">
        <v>6</v>
      </c>
      <c r="F56">
        <v>4</v>
      </c>
      <c r="G56" t="s">
        <v>2542</v>
      </c>
    </row>
    <row r="57" spans="1:7">
      <c r="A57" t="s">
        <v>2543</v>
      </c>
      <c r="B57" t="s">
        <v>1228</v>
      </c>
      <c r="C57" t="s">
        <v>2482</v>
      </c>
      <c r="D57" t="s">
        <v>2491</v>
      </c>
      <c r="E57">
        <v>4</v>
      </c>
      <c r="F57">
        <v>1</v>
      </c>
      <c r="G57" t="s">
        <v>144</v>
      </c>
    </row>
    <row r="58" spans="1:7">
      <c r="A58" t="s">
        <v>2544</v>
      </c>
      <c r="B58" t="s">
        <v>1976</v>
      </c>
      <c r="C58" t="s">
        <v>2479</v>
      </c>
      <c r="D58" t="s">
        <v>2480</v>
      </c>
      <c r="E58">
        <v>4</v>
      </c>
      <c r="F58">
        <v>2</v>
      </c>
      <c r="G58" t="s">
        <v>1753</v>
      </c>
    </row>
    <row r="59" spans="1:7">
      <c r="A59" t="s">
        <v>2545</v>
      </c>
      <c r="B59" t="s">
        <v>596</v>
      </c>
      <c r="C59" t="s">
        <v>2482</v>
      </c>
      <c r="D59" t="s">
        <v>2480</v>
      </c>
      <c r="E59">
        <v>1</v>
      </c>
      <c r="F59">
        <v>5</v>
      </c>
      <c r="G59" t="s">
        <v>625</v>
      </c>
    </row>
    <row r="60" spans="1:7">
      <c r="A60" t="s">
        <v>2546</v>
      </c>
      <c r="B60" t="s">
        <v>1452</v>
      </c>
      <c r="C60" t="s">
        <v>2482</v>
      </c>
      <c r="D60" t="s">
        <v>2491</v>
      </c>
      <c r="E60">
        <v>5</v>
      </c>
      <c r="F60">
        <v>3</v>
      </c>
      <c r="G60" t="s">
        <v>1513</v>
      </c>
    </row>
    <row r="61" spans="1:7">
      <c r="A61" t="s">
        <v>2547</v>
      </c>
      <c r="B61" t="s">
        <v>119</v>
      </c>
      <c r="C61" t="s">
        <v>2482</v>
      </c>
      <c r="D61" t="s">
        <v>2504</v>
      </c>
      <c r="E61">
        <v>3</v>
      </c>
      <c r="F61">
        <v>1</v>
      </c>
      <c r="G61" t="s">
        <v>551</v>
      </c>
    </row>
    <row r="62" spans="1:7">
      <c r="A62" t="s">
        <v>2548</v>
      </c>
      <c r="B62" t="s">
        <v>394</v>
      </c>
      <c r="C62" t="s">
        <v>2482</v>
      </c>
      <c r="D62" t="s">
        <v>2491</v>
      </c>
      <c r="E62">
        <v>4</v>
      </c>
      <c r="F62">
        <v>2</v>
      </c>
      <c r="G62" t="s">
        <v>2339</v>
      </c>
    </row>
    <row r="63" spans="1:7">
      <c r="A63" t="s">
        <v>2549</v>
      </c>
      <c r="B63" t="s">
        <v>371</v>
      </c>
      <c r="C63" t="s">
        <v>2482</v>
      </c>
      <c r="D63" t="s">
        <v>2491</v>
      </c>
      <c r="E63">
        <v>4</v>
      </c>
      <c r="F63">
        <v>4</v>
      </c>
      <c r="G63" t="s">
        <v>1045</v>
      </c>
    </row>
    <row r="64" spans="1:7">
      <c r="A64" t="s">
        <v>2550</v>
      </c>
      <c r="B64" t="s">
        <v>190</v>
      </c>
      <c r="C64" t="s">
        <v>2476</v>
      </c>
      <c r="D64" t="s">
        <v>2504</v>
      </c>
      <c r="E64">
        <v>6</v>
      </c>
      <c r="F64">
        <v>2</v>
      </c>
      <c r="G64" t="s">
        <v>1764</v>
      </c>
    </row>
    <row r="65" spans="1:7">
      <c r="A65" t="s">
        <v>2551</v>
      </c>
      <c r="B65" t="s">
        <v>416</v>
      </c>
      <c r="C65" t="s">
        <v>2485</v>
      </c>
      <c r="D65" t="s">
        <v>2477</v>
      </c>
      <c r="E65">
        <v>5</v>
      </c>
      <c r="F65">
        <v>2</v>
      </c>
      <c r="G65" t="s">
        <v>1882</v>
      </c>
    </row>
    <row r="66" spans="1:7">
      <c r="A66" t="s">
        <v>2552</v>
      </c>
      <c r="B66" t="s">
        <v>1318</v>
      </c>
      <c r="C66" t="s">
        <v>2485</v>
      </c>
      <c r="D66" t="s">
        <v>2504</v>
      </c>
      <c r="E66">
        <v>3</v>
      </c>
      <c r="F66">
        <v>5</v>
      </c>
      <c r="G66" t="s">
        <v>1099</v>
      </c>
    </row>
    <row r="67" spans="1:7">
      <c r="A67" t="s">
        <v>2553</v>
      </c>
      <c r="B67" t="s">
        <v>1255</v>
      </c>
      <c r="C67" t="s">
        <v>2482</v>
      </c>
      <c r="D67" t="s">
        <v>2504</v>
      </c>
      <c r="E67">
        <v>8</v>
      </c>
      <c r="F67">
        <v>4</v>
      </c>
      <c r="G67" t="s">
        <v>533</v>
      </c>
    </row>
    <row r="68" spans="1:7">
      <c r="A68" t="s">
        <v>2554</v>
      </c>
      <c r="B68" t="s">
        <v>1960</v>
      </c>
      <c r="C68" t="s">
        <v>2493</v>
      </c>
      <c r="D68" t="s">
        <v>2504</v>
      </c>
      <c r="E68">
        <v>4</v>
      </c>
      <c r="F68">
        <v>1</v>
      </c>
      <c r="G68" t="s">
        <v>1094</v>
      </c>
    </row>
    <row r="69" spans="1:7">
      <c r="A69" t="s">
        <v>2555</v>
      </c>
      <c r="B69" t="s">
        <v>1290</v>
      </c>
      <c r="C69" t="s">
        <v>2479</v>
      </c>
      <c r="D69" t="s">
        <v>2491</v>
      </c>
      <c r="E69">
        <v>4</v>
      </c>
      <c r="F69">
        <v>2</v>
      </c>
      <c r="G69" t="s">
        <v>914</v>
      </c>
    </row>
    <row r="70" spans="1:7">
      <c r="A70" t="s">
        <v>2556</v>
      </c>
      <c r="B70" t="s">
        <v>1587</v>
      </c>
      <c r="C70" t="s">
        <v>2493</v>
      </c>
      <c r="D70" t="s">
        <v>2480</v>
      </c>
      <c r="E70">
        <v>7</v>
      </c>
      <c r="F70">
        <v>4</v>
      </c>
      <c r="G70" t="s">
        <v>2557</v>
      </c>
    </row>
    <row r="71" spans="1:7">
      <c r="A71" t="s">
        <v>2558</v>
      </c>
      <c r="B71" t="s">
        <v>2186</v>
      </c>
      <c r="C71" t="s">
        <v>2479</v>
      </c>
      <c r="D71" t="s">
        <v>2491</v>
      </c>
      <c r="E71">
        <v>8</v>
      </c>
      <c r="F71">
        <v>1</v>
      </c>
      <c r="G71" t="s">
        <v>510</v>
      </c>
    </row>
    <row r="72" spans="1:7">
      <c r="A72" t="s">
        <v>2559</v>
      </c>
      <c r="B72" t="s">
        <v>487</v>
      </c>
      <c r="C72" t="s">
        <v>2479</v>
      </c>
      <c r="D72" t="s">
        <v>2504</v>
      </c>
      <c r="E72">
        <v>10</v>
      </c>
      <c r="F72">
        <v>4</v>
      </c>
      <c r="G72" t="s">
        <v>319</v>
      </c>
    </row>
    <row r="73" spans="1:7">
      <c r="A73" t="s">
        <v>2560</v>
      </c>
      <c r="B73" t="s">
        <v>1082</v>
      </c>
      <c r="C73" t="s">
        <v>2482</v>
      </c>
      <c r="D73" t="s">
        <v>2491</v>
      </c>
      <c r="E73">
        <v>3</v>
      </c>
      <c r="F73">
        <v>5</v>
      </c>
      <c r="G73" t="s">
        <v>138</v>
      </c>
    </row>
    <row r="74" spans="1:7">
      <c r="A74" t="s">
        <v>2561</v>
      </c>
      <c r="B74" t="s">
        <v>1926</v>
      </c>
      <c r="C74" t="s">
        <v>2493</v>
      </c>
      <c r="D74" t="s">
        <v>2477</v>
      </c>
      <c r="E74">
        <v>10</v>
      </c>
      <c r="F74">
        <v>1</v>
      </c>
      <c r="G74" t="s">
        <v>308</v>
      </c>
    </row>
    <row r="75" spans="1:7">
      <c r="A75" t="s">
        <v>2562</v>
      </c>
      <c r="B75" t="s">
        <v>438</v>
      </c>
      <c r="C75" t="s">
        <v>2482</v>
      </c>
      <c r="D75" t="s">
        <v>2491</v>
      </c>
      <c r="E75">
        <v>1</v>
      </c>
      <c r="F75">
        <v>1</v>
      </c>
      <c r="G75" t="s">
        <v>258</v>
      </c>
    </row>
    <row r="76" spans="1:7">
      <c r="A76" t="s">
        <v>2563</v>
      </c>
      <c r="B76" t="s">
        <v>1655</v>
      </c>
      <c r="C76" t="s">
        <v>2479</v>
      </c>
      <c r="D76" t="s">
        <v>2491</v>
      </c>
      <c r="E76">
        <v>2</v>
      </c>
      <c r="F76">
        <v>1</v>
      </c>
      <c r="G76" t="s">
        <v>1519</v>
      </c>
    </row>
    <row r="77" spans="1:7">
      <c r="A77" t="s">
        <v>2564</v>
      </c>
      <c r="B77" t="s">
        <v>1508</v>
      </c>
      <c r="C77" t="s">
        <v>2493</v>
      </c>
      <c r="D77" t="s">
        <v>2491</v>
      </c>
      <c r="E77">
        <v>10</v>
      </c>
      <c r="F77">
        <v>5</v>
      </c>
      <c r="G77" t="s">
        <v>2412</v>
      </c>
    </row>
    <row r="78" spans="1:7">
      <c r="A78" t="s">
        <v>2565</v>
      </c>
      <c r="B78" t="s">
        <v>1810</v>
      </c>
      <c r="C78" t="s">
        <v>2476</v>
      </c>
      <c r="D78" t="s">
        <v>2477</v>
      </c>
      <c r="E78">
        <v>7</v>
      </c>
      <c r="F78">
        <v>4</v>
      </c>
      <c r="G78" t="s">
        <v>721</v>
      </c>
    </row>
    <row r="79" spans="1:7">
      <c r="A79" t="s">
        <v>2566</v>
      </c>
      <c r="B79" t="s">
        <v>190</v>
      </c>
      <c r="C79" t="s">
        <v>2476</v>
      </c>
      <c r="D79" t="s">
        <v>2491</v>
      </c>
      <c r="E79">
        <v>4</v>
      </c>
      <c r="F79">
        <v>4</v>
      </c>
      <c r="G79" t="s">
        <v>197</v>
      </c>
    </row>
    <row r="80" spans="1:7">
      <c r="A80" t="s">
        <v>2567</v>
      </c>
      <c r="B80" t="s">
        <v>1096</v>
      </c>
      <c r="C80" t="s">
        <v>2476</v>
      </c>
      <c r="D80" t="s">
        <v>2504</v>
      </c>
      <c r="E80">
        <v>5</v>
      </c>
      <c r="F80">
        <v>1</v>
      </c>
      <c r="G80" t="s">
        <v>1964</v>
      </c>
    </row>
    <row r="81" spans="1:7">
      <c r="A81" t="s">
        <v>2568</v>
      </c>
      <c r="B81" t="s">
        <v>1173</v>
      </c>
      <c r="C81" t="s">
        <v>2493</v>
      </c>
      <c r="D81" t="s">
        <v>2504</v>
      </c>
      <c r="E81">
        <v>5</v>
      </c>
      <c r="F81">
        <v>3</v>
      </c>
      <c r="G81" t="s">
        <v>2364</v>
      </c>
    </row>
    <row r="82" spans="1:7">
      <c r="A82" t="s">
        <v>2569</v>
      </c>
      <c r="B82" t="s">
        <v>2355</v>
      </c>
      <c r="C82" t="s">
        <v>2476</v>
      </c>
      <c r="D82" t="s">
        <v>2491</v>
      </c>
      <c r="E82">
        <v>10</v>
      </c>
      <c r="F82">
        <v>5</v>
      </c>
      <c r="G82" t="s">
        <v>1380</v>
      </c>
    </row>
    <row r="83" spans="1:7">
      <c r="A83" t="s">
        <v>2570</v>
      </c>
      <c r="B83" t="s">
        <v>1323</v>
      </c>
      <c r="C83" t="s">
        <v>2476</v>
      </c>
      <c r="D83" t="s">
        <v>2491</v>
      </c>
      <c r="E83">
        <v>5</v>
      </c>
      <c r="F83">
        <v>4</v>
      </c>
      <c r="G83" t="s">
        <v>117</v>
      </c>
    </row>
    <row r="84" spans="1:7">
      <c r="A84" t="s">
        <v>2571</v>
      </c>
      <c r="B84" t="s">
        <v>1691</v>
      </c>
      <c r="C84" t="s">
        <v>2485</v>
      </c>
      <c r="D84" t="s">
        <v>2477</v>
      </c>
      <c r="E84">
        <v>8</v>
      </c>
      <c r="F84">
        <v>2</v>
      </c>
      <c r="G84" t="s">
        <v>1758</v>
      </c>
    </row>
    <row r="85" spans="1:7">
      <c r="A85" t="s">
        <v>2572</v>
      </c>
      <c r="B85" t="s">
        <v>1566</v>
      </c>
      <c r="C85" t="s">
        <v>2479</v>
      </c>
      <c r="D85" t="s">
        <v>2504</v>
      </c>
      <c r="E85">
        <v>8</v>
      </c>
      <c r="F85">
        <v>2</v>
      </c>
      <c r="G85" t="s">
        <v>255</v>
      </c>
    </row>
    <row r="86" spans="1:7">
      <c r="A86" t="s">
        <v>2573</v>
      </c>
      <c r="B86" t="s">
        <v>2321</v>
      </c>
      <c r="C86" t="s">
        <v>2479</v>
      </c>
      <c r="D86" t="s">
        <v>2491</v>
      </c>
      <c r="E86">
        <v>3</v>
      </c>
      <c r="F86">
        <v>5</v>
      </c>
      <c r="G86" t="s">
        <v>680</v>
      </c>
    </row>
    <row r="87" spans="1:7">
      <c r="A87" t="s">
        <v>2574</v>
      </c>
      <c r="B87" t="s">
        <v>1421</v>
      </c>
      <c r="C87" t="s">
        <v>2482</v>
      </c>
      <c r="D87" t="s">
        <v>2504</v>
      </c>
      <c r="E87">
        <v>4</v>
      </c>
      <c r="F87">
        <v>3</v>
      </c>
      <c r="G87" t="s">
        <v>2575</v>
      </c>
    </row>
    <row r="88" spans="1:7">
      <c r="A88" t="s">
        <v>2576</v>
      </c>
      <c r="B88" t="s">
        <v>342</v>
      </c>
      <c r="C88" t="s">
        <v>2476</v>
      </c>
      <c r="D88" t="s">
        <v>2480</v>
      </c>
      <c r="E88">
        <v>10</v>
      </c>
      <c r="F88">
        <v>1</v>
      </c>
      <c r="G88" t="s">
        <v>206</v>
      </c>
    </row>
    <row r="89" spans="1:7">
      <c r="A89" t="s">
        <v>2577</v>
      </c>
      <c r="B89" t="s">
        <v>289</v>
      </c>
      <c r="C89" t="s">
        <v>2479</v>
      </c>
      <c r="D89" t="s">
        <v>2480</v>
      </c>
      <c r="E89">
        <v>1</v>
      </c>
      <c r="F89">
        <v>3</v>
      </c>
      <c r="G89" t="s">
        <v>395</v>
      </c>
    </row>
    <row r="90" spans="1:7">
      <c r="A90" t="s">
        <v>2578</v>
      </c>
      <c r="B90" t="s">
        <v>822</v>
      </c>
      <c r="C90" t="s">
        <v>2482</v>
      </c>
      <c r="D90" t="s">
        <v>2504</v>
      </c>
      <c r="E90">
        <v>5</v>
      </c>
      <c r="F90">
        <v>1</v>
      </c>
      <c r="G90" t="s">
        <v>2436</v>
      </c>
    </row>
    <row r="91" spans="1:7">
      <c r="A91" t="s">
        <v>2579</v>
      </c>
      <c r="B91" t="s">
        <v>648</v>
      </c>
      <c r="C91" t="s">
        <v>2493</v>
      </c>
      <c r="D91" t="s">
        <v>2480</v>
      </c>
      <c r="E91">
        <v>10</v>
      </c>
      <c r="F91">
        <v>5</v>
      </c>
      <c r="G91" t="s">
        <v>891</v>
      </c>
    </row>
    <row r="92" spans="1:7">
      <c r="A92" t="s">
        <v>2580</v>
      </c>
      <c r="B92" t="s">
        <v>596</v>
      </c>
      <c r="C92" t="s">
        <v>2482</v>
      </c>
      <c r="D92" t="s">
        <v>2504</v>
      </c>
      <c r="E92">
        <v>3</v>
      </c>
      <c r="F92">
        <v>3</v>
      </c>
      <c r="G92" t="s">
        <v>855</v>
      </c>
    </row>
    <row r="93" spans="1:7">
      <c r="A93" t="s">
        <v>2581</v>
      </c>
      <c r="B93" t="s">
        <v>116</v>
      </c>
      <c r="C93" t="s">
        <v>2476</v>
      </c>
      <c r="D93" t="s">
        <v>2477</v>
      </c>
      <c r="E93">
        <v>1</v>
      </c>
      <c r="F93">
        <v>2</v>
      </c>
      <c r="G93" t="s">
        <v>298</v>
      </c>
    </row>
    <row r="94" spans="1:7">
      <c r="A94" t="s">
        <v>2582</v>
      </c>
      <c r="B94" t="s">
        <v>2087</v>
      </c>
      <c r="C94" t="s">
        <v>2476</v>
      </c>
      <c r="D94" t="s">
        <v>2480</v>
      </c>
      <c r="E94">
        <v>7</v>
      </c>
      <c r="F94">
        <v>5</v>
      </c>
      <c r="G94" t="s">
        <v>2030</v>
      </c>
    </row>
    <row r="95" spans="1:7">
      <c r="A95" t="s">
        <v>2583</v>
      </c>
      <c r="B95" t="s">
        <v>2325</v>
      </c>
      <c r="C95" t="s">
        <v>2493</v>
      </c>
      <c r="D95" t="s">
        <v>2480</v>
      </c>
      <c r="E95">
        <v>5</v>
      </c>
      <c r="F95">
        <v>5</v>
      </c>
      <c r="G95" t="s">
        <v>716</v>
      </c>
    </row>
    <row r="96" spans="1:7">
      <c r="A96" t="s">
        <v>2584</v>
      </c>
      <c r="B96" t="s">
        <v>1228</v>
      </c>
      <c r="C96" t="s">
        <v>2479</v>
      </c>
      <c r="D96" t="s">
        <v>2504</v>
      </c>
      <c r="E96">
        <v>10</v>
      </c>
      <c r="F96">
        <v>5</v>
      </c>
      <c r="G96" t="s">
        <v>102</v>
      </c>
    </row>
    <row r="97" spans="1:7">
      <c r="A97" t="s">
        <v>2585</v>
      </c>
      <c r="B97" t="s">
        <v>2374</v>
      </c>
      <c r="C97" t="s">
        <v>2479</v>
      </c>
      <c r="D97" t="s">
        <v>2504</v>
      </c>
      <c r="E97">
        <v>9</v>
      </c>
      <c r="F97">
        <v>3</v>
      </c>
      <c r="G97" t="s">
        <v>1947</v>
      </c>
    </row>
    <row r="98" spans="1:7">
      <c r="A98" t="s">
        <v>2586</v>
      </c>
      <c r="B98" t="s">
        <v>1648</v>
      </c>
      <c r="C98" t="s">
        <v>2482</v>
      </c>
      <c r="D98" t="s">
        <v>2504</v>
      </c>
      <c r="E98">
        <v>1</v>
      </c>
      <c r="F98">
        <v>2</v>
      </c>
      <c r="G98" t="s">
        <v>2364</v>
      </c>
    </row>
    <row r="99" spans="1:7">
      <c r="A99" t="s">
        <v>2587</v>
      </c>
      <c r="B99" t="s">
        <v>1244</v>
      </c>
      <c r="C99" t="s">
        <v>2482</v>
      </c>
      <c r="D99" t="s">
        <v>2504</v>
      </c>
      <c r="E99">
        <v>9</v>
      </c>
      <c r="F99">
        <v>3</v>
      </c>
      <c r="G99" t="s">
        <v>48</v>
      </c>
    </row>
    <row r="100" spans="1:7">
      <c r="A100" t="s">
        <v>2588</v>
      </c>
      <c r="B100" t="s">
        <v>1860</v>
      </c>
      <c r="C100" t="s">
        <v>2479</v>
      </c>
      <c r="D100" t="s">
        <v>2480</v>
      </c>
      <c r="E100">
        <v>2</v>
      </c>
      <c r="F100">
        <v>1</v>
      </c>
      <c r="G100" t="s">
        <v>377</v>
      </c>
    </row>
    <row r="101" spans="1:7">
      <c r="A101" t="s">
        <v>2589</v>
      </c>
      <c r="B101" t="s">
        <v>444</v>
      </c>
      <c r="C101" t="s">
        <v>2485</v>
      </c>
      <c r="D101" t="s">
        <v>2504</v>
      </c>
      <c r="E101">
        <v>9</v>
      </c>
      <c r="F101">
        <v>2</v>
      </c>
      <c r="G101" t="s">
        <v>2590</v>
      </c>
    </row>
    <row r="102" spans="1:7">
      <c r="A102" t="s">
        <v>2591</v>
      </c>
      <c r="B102" t="s">
        <v>46</v>
      </c>
      <c r="C102" t="s">
        <v>2476</v>
      </c>
      <c r="D102" t="s">
        <v>2480</v>
      </c>
      <c r="E102">
        <v>6</v>
      </c>
      <c r="F102">
        <v>3</v>
      </c>
      <c r="G102" t="s">
        <v>1590</v>
      </c>
    </row>
    <row r="103" spans="1:7">
      <c r="A103" t="s">
        <v>2592</v>
      </c>
      <c r="B103" t="s">
        <v>266</v>
      </c>
      <c r="C103" t="s">
        <v>2476</v>
      </c>
      <c r="D103" t="s">
        <v>2477</v>
      </c>
      <c r="E103">
        <v>2</v>
      </c>
      <c r="F103">
        <v>1</v>
      </c>
      <c r="G103" t="s">
        <v>229</v>
      </c>
    </row>
    <row r="104" spans="1:7">
      <c r="A104" t="s">
        <v>2593</v>
      </c>
      <c r="B104" t="s">
        <v>593</v>
      </c>
      <c r="C104" t="s">
        <v>2476</v>
      </c>
      <c r="D104" t="s">
        <v>2477</v>
      </c>
      <c r="E104">
        <v>1</v>
      </c>
      <c r="F104">
        <v>4</v>
      </c>
      <c r="G104" t="s">
        <v>395</v>
      </c>
    </row>
    <row r="105" spans="1:7">
      <c r="A105" t="s">
        <v>2594</v>
      </c>
      <c r="B105" t="s">
        <v>1594</v>
      </c>
      <c r="C105" t="s">
        <v>2479</v>
      </c>
      <c r="D105" t="s">
        <v>2491</v>
      </c>
      <c r="E105">
        <v>2</v>
      </c>
      <c r="F105">
        <v>1</v>
      </c>
      <c r="G105" t="s">
        <v>24</v>
      </c>
    </row>
    <row r="106" spans="1:7">
      <c r="A106" t="s">
        <v>2595</v>
      </c>
      <c r="B106" t="s">
        <v>1881</v>
      </c>
      <c r="C106" t="s">
        <v>2479</v>
      </c>
      <c r="D106" t="s">
        <v>2504</v>
      </c>
      <c r="E106">
        <v>7</v>
      </c>
      <c r="F106">
        <v>5</v>
      </c>
      <c r="G106" t="s">
        <v>1628</v>
      </c>
    </row>
    <row r="107" spans="1:7">
      <c r="A107" t="s">
        <v>2596</v>
      </c>
      <c r="B107" t="s">
        <v>1956</v>
      </c>
      <c r="C107" t="s">
        <v>2485</v>
      </c>
      <c r="D107" t="s">
        <v>2491</v>
      </c>
      <c r="E107">
        <v>5</v>
      </c>
      <c r="F107">
        <v>5</v>
      </c>
      <c r="G107" t="s">
        <v>2597</v>
      </c>
    </row>
    <row r="108" spans="1:7">
      <c r="A108" t="s">
        <v>2598</v>
      </c>
      <c r="B108" t="s">
        <v>2156</v>
      </c>
      <c r="C108" t="s">
        <v>2485</v>
      </c>
      <c r="D108" t="s">
        <v>2491</v>
      </c>
      <c r="E108">
        <v>9</v>
      </c>
      <c r="F108">
        <v>3</v>
      </c>
      <c r="G108" t="s">
        <v>298</v>
      </c>
    </row>
    <row r="109" spans="1:7">
      <c r="A109" t="s">
        <v>2599</v>
      </c>
      <c r="B109" t="s">
        <v>1785</v>
      </c>
      <c r="C109" t="s">
        <v>2482</v>
      </c>
      <c r="D109" t="s">
        <v>2480</v>
      </c>
      <c r="E109">
        <v>7</v>
      </c>
      <c r="F109">
        <v>2</v>
      </c>
      <c r="G109" t="s">
        <v>705</v>
      </c>
    </row>
    <row r="110" spans="1:7">
      <c r="A110" t="s">
        <v>2600</v>
      </c>
      <c r="B110" t="s">
        <v>2448</v>
      </c>
      <c r="C110" t="s">
        <v>2482</v>
      </c>
      <c r="D110" t="s">
        <v>2480</v>
      </c>
      <c r="E110">
        <v>9</v>
      </c>
      <c r="F110">
        <v>2</v>
      </c>
      <c r="G110" t="s">
        <v>1477</v>
      </c>
    </row>
    <row r="111" spans="1:7">
      <c r="A111" t="s">
        <v>2601</v>
      </c>
      <c r="B111" t="s">
        <v>1938</v>
      </c>
      <c r="C111" t="s">
        <v>2482</v>
      </c>
      <c r="D111" t="s">
        <v>2504</v>
      </c>
      <c r="E111">
        <v>6</v>
      </c>
      <c r="F111">
        <v>4</v>
      </c>
      <c r="G111" t="s">
        <v>123</v>
      </c>
    </row>
    <row r="112" spans="1:7">
      <c r="A112" t="s">
        <v>2602</v>
      </c>
      <c r="B112" t="s">
        <v>887</v>
      </c>
      <c r="C112" t="s">
        <v>2493</v>
      </c>
      <c r="D112" t="s">
        <v>2504</v>
      </c>
      <c r="E112">
        <v>7</v>
      </c>
      <c r="F112">
        <v>2</v>
      </c>
      <c r="G112" t="s">
        <v>31</v>
      </c>
    </row>
    <row r="113" spans="1:7">
      <c r="A113" t="s">
        <v>2603</v>
      </c>
      <c r="B113" t="s">
        <v>685</v>
      </c>
      <c r="C113" t="s">
        <v>2476</v>
      </c>
      <c r="D113" t="s">
        <v>2480</v>
      </c>
      <c r="E113">
        <v>3</v>
      </c>
      <c r="F113">
        <v>2</v>
      </c>
      <c r="G113" t="s">
        <v>2349</v>
      </c>
    </row>
    <row r="114" spans="1:7">
      <c r="A114" t="s">
        <v>2604</v>
      </c>
      <c r="B114" t="s">
        <v>217</v>
      </c>
      <c r="C114" t="s">
        <v>2482</v>
      </c>
      <c r="D114" t="s">
        <v>2480</v>
      </c>
      <c r="E114">
        <v>7</v>
      </c>
      <c r="F114">
        <v>2</v>
      </c>
      <c r="G114" t="s">
        <v>765</v>
      </c>
    </row>
    <row r="115" spans="1:7">
      <c r="A115" t="s">
        <v>2605</v>
      </c>
      <c r="B115" t="s">
        <v>1218</v>
      </c>
      <c r="C115" t="s">
        <v>2482</v>
      </c>
      <c r="D115" t="s">
        <v>2477</v>
      </c>
      <c r="E115">
        <v>1</v>
      </c>
      <c r="F115">
        <v>4</v>
      </c>
      <c r="G115" t="s">
        <v>59</v>
      </c>
    </row>
    <row r="116" spans="1:7">
      <c r="A116" t="s">
        <v>2606</v>
      </c>
      <c r="B116" t="s">
        <v>1980</v>
      </c>
      <c r="C116" t="s">
        <v>2482</v>
      </c>
      <c r="D116" t="s">
        <v>2477</v>
      </c>
      <c r="E116">
        <v>5</v>
      </c>
      <c r="F116">
        <v>1</v>
      </c>
      <c r="G116" t="s">
        <v>287</v>
      </c>
    </row>
    <row r="117" spans="1:7">
      <c r="A117" t="s">
        <v>2607</v>
      </c>
      <c r="B117" t="s">
        <v>1437</v>
      </c>
      <c r="C117" t="s">
        <v>2485</v>
      </c>
      <c r="D117" t="s">
        <v>2504</v>
      </c>
      <c r="E117">
        <v>10</v>
      </c>
      <c r="F117">
        <v>2</v>
      </c>
      <c r="G117" t="s">
        <v>167</v>
      </c>
    </row>
    <row r="118" spans="1:7">
      <c r="A118" t="s">
        <v>2608</v>
      </c>
      <c r="B118" t="s">
        <v>447</v>
      </c>
      <c r="C118" t="s">
        <v>2482</v>
      </c>
      <c r="D118" t="s">
        <v>2480</v>
      </c>
      <c r="E118">
        <v>2</v>
      </c>
      <c r="F118">
        <v>2</v>
      </c>
      <c r="G118" t="s">
        <v>414</v>
      </c>
    </row>
    <row r="119" spans="1:7">
      <c r="A119" t="s">
        <v>2609</v>
      </c>
      <c r="B119" t="s">
        <v>898</v>
      </c>
      <c r="C119" t="s">
        <v>2479</v>
      </c>
      <c r="D119" t="s">
        <v>2491</v>
      </c>
      <c r="E119">
        <v>7</v>
      </c>
      <c r="F119">
        <v>2</v>
      </c>
      <c r="G119" t="s">
        <v>562</v>
      </c>
    </row>
    <row r="120" spans="1:7">
      <c r="A120" t="s">
        <v>2610</v>
      </c>
      <c r="B120" t="s">
        <v>2361</v>
      </c>
      <c r="C120" t="s">
        <v>2482</v>
      </c>
      <c r="D120" t="s">
        <v>2491</v>
      </c>
      <c r="E120">
        <v>9</v>
      </c>
      <c r="F120">
        <v>2</v>
      </c>
      <c r="G120" t="s">
        <v>1470</v>
      </c>
    </row>
    <row r="121" spans="1:7">
      <c r="A121" t="s">
        <v>2611</v>
      </c>
      <c r="B121" t="s">
        <v>1476</v>
      </c>
      <c r="C121" t="s">
        <v>2479</v>
      </c>
      <c r="D121" t="s">
        <v>2491</v>
      </c>
      <c r="E121">
        <v>4</v>
      </c>
      <c r="F121">
        <v>4</v>
      </c>
      <c r="G121" t="s">
        <v>2612</v>
      </c>
    </row>
    <row r="122" spans="1:7">
      <c r="A122" t="s">
        <v>2613</v>
      </c>
      <c r="B122" t="s">
        <v>1995</v>
      </c>
      <c r="C122" t="s">
        <v>2493</v>
      </c>
      <c r="D122" t="s">
        <v>2477</v>
      </c>
      <c r="E122">
        <v>6</v>
      </c>
      <c r="F122">
        <v>3</v>
      </c>
      <c r="G122" t="s">
        <v>538</v>
      </c>
    </row>
    <row r="123" spans="1:7">
      <c r="A123" t="s">
        <v>2614</v>
      </c>
      <c r="B123" t="s">
        <v>1934</v>
      </c>
      <c r="C123" t="s">
        <v>2493</v>
      </c>
      <c r="D123" t="s">
        <v>2504</v>
      </c>
      <c r="E123">
        <v>6</v>
      </c>
      <c r="F123">
        <v>1</v>
      </c>
      <c r="G123" t="s">
        <v>1266</v>
      </c>
    </row>
    <row r="124" spans="1:7">
      <c r="A124" t="s">
        <v>2615</v>
      </c>
      <c r="B124" t="s">
        <v>2169</v>
      </c>
      <c r="C124" t="s">
        <v>2493</v>
      </c>
      <c r="D124" t="s">
        <v>2480</v>
      </c>
      <c r="E124">
        <v>4</v>
      </c>
      <c r="F124">
        <v>4</v>
      </c>
      <c r="G124" t="s">
        <v>1368</v>
      </c>
    </row>
    <row r="125" spans="1:7">
      <c r="A125" t="s">
        <v>2616</v>
      </c>
      <c r="B125" t="s">
        <v>878</v>
      </c>
      <c r="C125" t="s">
        <v>2476</v>
      </c>
      <c r="D125" t="s">
        <v>2477</v>
      </c>
      <c r="E125">
        <v>4</v>
      </c>
      <c r="F125">
        <v>1</v>
      </c>
      <c r="G125" t="s">
        <v>2018</v>
      </c>
    </row>
    <row r="126" spans="1:7">
      <c r="A126" t="s">
        <v>2617</v>
      </c>
      <c r="B126" t="s">
        <v>1717</v>
      </c>
      <c r="C126" t="s">
        <v>2482</v>
      </c>
      <c r="D126" t="s">
        <v>2491</v>
      </c>
      <c r="E126">
        <v>4</v>
      </c>
      <c r="F126">
        <v>1</v>
      </c>
      <c r="G126" t="s">
        <v>1581</v>
      </c>
    </row>
    <row r="127" spans="1:7">
      <c r="A127" t="s">
        <v>2618</v>
      </c>
      <c r="B127" t="s">
        <v>95</v>
      </c>
      <c r="C127" t="s">
        <v>2479</v>
      </c>
      <c r="D127" t="s">
        <v>2477</v>
      </c>
      <c r="E127">
        <v>9</v>
      </c>
      <c r="F127">
        <v>2</v>
      </c>
      <c r="G127" t="s">
        <v>37</v>
      </c>
    </row>
    <row r="128" spans="1:7">
      <c r="A128" t="s">
        <v>2619</v>
      </c>
      <c r="B128" t="s">
        <v>2442</v>
      </c>
      <c r="C128" t="s">
        <v>2482</v>
      </c>
      <c r="D128" t="s">
        <v>2477</v>
      </c>
      <c r="E128">
        <v>6</v>
      </c>
      <c r="F128">
        <v>2</v>
      </c>
      <c r="G128" t="s">
        <v>548</v>
      </c>
    </row>
    <row r="129" spans="1:7">
      <c r="A129" t="s">
        <v>2620</v>
      </c>
      <c r="B129" t="s">
        <v>2123</v>
      </c>
      <c r="C129" t="s">
        <v>2476</v>
      </c>
      <c r="D129" t="s">
        <v>2477</v>
      </c>
      <c r="E129">
        <v>4</v>
      </c>
      <c r="F129">
        <v>1</v>
      </c>
      <c r="G129" t="s">
        <v>1003</v>
      </c>
    </row>
    <row r="130" spans="1:7">
      <c r="A130" t="s">
        <v>2621</v>
      </c>
      <c r="B130" t="s">
        <v>1566</v>
      </c>
      <c r="C130" t="s">
        <v>2485</v>
      </c>
      <c r="D130" t="s">
        <v>2477</v>
      </c>
      <c r="E130">
        <v>6</v>
      </c>
      <c r="F130">
        <v>5</v>
      </c>
      <c r="G130" t="s">
        <v>1152</v>
      </c>
    </row>
    <row r="131" spans="1:7">
      <c r="A131" t="s">
        <v>2622</v>
      </c>
      <c r="B131" t="s">
        <v>1140</v>
      </c>
      <c r="C131" t="s">
        <v>2482</v>
      </c>
      <c r="D131" t="s">
        <v>2477</v>
      </c>
      <c r="E131">
        <v>3</v>
      </c>
      <c r="F131">
        <v>5</v>
      </c>
      <c r="G131" t="s">
        <v>1548</v>
      </c>
    </row>
    <row r="132" spans="1:7">
      <c r="A132" t="s">
        <v>2623</v>
      </c>
      <c r="B132" t="s">
        <v>2017</v>
      </c>
      <c r="C132" t="s">
        <v>2482</v>
      </c>
      <c r="D132" t="s">
        <v>2480</v>
      </c>
      <c r="E132">
        <v>3</v>
      </c>
      <c r="F132">
        <v>3</v>
      </c>
      <c r="G132" t="s">
        <v>2030</v>
      </c>
    </row>
    <row r="133" spans="1:7">
      <c r="A133" t="s">
        <v>2624</v>
      </c>
      <c r="B133" t="s">
        <v>166</v>
      </c>
      <c r="C133" t="s">
        <v>2493</v>
      </c>
      <c r="D133" t="s">
        <v>2491</v>
      </c>
      <c r="E133">
        <v>10</v>
      </c>
      <c r="F133">
        <v>4</v>
      </c>
      <c r="G133" t="s">
        <v>1914</v>
      </c>
    </row>
    <row r="134" spans="1:7">
      <c r="A134" t="s">
        <v>2625</v>
      </c>
      <c r="B134" t="s">
        <v>2294</v>
      </c>
      <c r="C134" t="s">
        <v>2493</v>
      </c>
      <c r="D134" t="s">
        <v>2477</v>
      </c>
      <c r="E134">
        <v>10</v>
      </c>
      <c r="F134">
        <v>4</v>
      </c>
      <c r="G134" t="s">
        <v>377</v>
      </c>
    </row>
    <row r="135" spans="1:7">
      <c r="A135" t="s">
        <v>2626</v>
      </c>
      <c r="B135" t="s">
        <v>2130</v>
      </c>
      <c r="C135" t="s">
        <v>2476</v>
      </c>
      <c r="D135" t="s">
        <v>2477</v>
      </c>
      <c r="E135">
        <v>5</v>
      </c>
      <c r="F135">
        <v>4</v>
      </c>
      <c r="G135" t="s">
        <v>806</v>
      </c>
    </row>
    <row r="136" spans="1:7">
      <c r="A136" t="s">
        <v>2627</v>
      </c>
      <c r="B136" t="s">
        <v>870</v>
      </c>
      <c r="C136" t="s">
        <v>2485</v>
      </c>
      <c r="D136" t="s">
        <v>2504</v>
      </c>
      <c r="E136">
        <v>4</v>
      </c>
      <c r="F136">
        <v>4</v>
      </c>
      <c r="G136" t="s">
        <v>2628</v>
      </c>
    </row>
    <row r="137" spans="1:7">
      <c r="A137" t="s">
        <v>2629</v>
      </c>
      <c r="B137" t="s">
        <v>1138</v>
      </c>
      <c r="C137" t="s">
        <v>2485</v>
      </c>
      <c r="D137" t="s">
        <v>2491</v>
      </c>
      <c r="E137">
        <v>9</v>
      </c>
      <c r="F137">
        <v>4</v>
      </c>
      <c r="G137" t="s">
        <v>2630</v>
      </c>
    </row>
    <row r="138" spans="1:7">
      <c r="A138" t="s">
        <v>2631</v>
      </c>
      <c r="B138" t="s">
        <v>593</v>
      </c>
      <c r="C138" t="s">
        <v>2482</v>
      </c>
      <c r="D138" t="s">
        <v>2504</v>
      </c>
      <c r="E138">
        <v>3</v>
      </c>
      <c r="F138">
        <v>3</v>
      </c>
      <c r="G138" t="s">
        <v>855</v>
      </c>
    </row>
    <row r="139" spans="1:7">
      <c r="A139" t="s">
        <v>2632</v>
      </c>
      <c r="B139" t="s">
        <v>1769</v>
      </c>
      <c r="C139" t="s">
        <v>2485</v>
      </c>
      <c r="D139" t="s">
        <v>2480</v>
      </c>
      <c r="E139">
        <v>4</v>
      </c>
      <c r="F139">
        <v>3</v>
      </c>
      <c r="G139" t="s">
        <v>773</v>
      </c>
    </row>
    <row r="140" spans="1:7">
      <c r="A140" t="s">
        <v>2633</v>
      </c>
      <c r="B140" t="s">
        <v>175</v>
      </c>
      <c r="C140" t="s">
        <v>2482</v>
      </c>
      <c r="D140" t="s">
        <v>2491</v>
      </c>
      <c r="E140">
        <v>3</v>
      </c>
      <c r="F140">
        <v>2</v>
      </c>
      <c r="G140" t="s">
        <v>1671</v>
      </c>
    </row>
    <row r="141" spans="1:7">
      <c r="A141" t="s">
        <v>2634</v>
      </c>
      <c r="B141" t="s">
        <v>175</v>
      </c>
      <c r="C141" t="s">
        <v>2479</v>
      </c>
      <c r="D141" t="s">
        <v>2491</v>
      </c>
      <c r="E141">
        <v>1</v>
      </c>
      <c r="F141">
        <v>5</v>
      </c>
      <c r="G141" t="s">
        <v>779</v>
      </c>
    </row>
    <row r="142" spans="1:7">
      <c r="A142" t="s">
        <v>2635</v>
      </c>
      <c r="B142" t="s">
        <v>1766</v>
      </c>
      <c r="C142" t="s">
        <v>2479</v>
      </c>
      <c r="D142" t="s">
        <v>2477</v>
      </c>
      <c r="E142">
        <v>3</v>
      </c>
      <c r="F142">
        <v>4</v>
      </c>
      <c r="G142" t="s">
        <v>1416</v>
      </c>
    </row>
    <row r="143" spans="1:7">
      <c r="A143" t="s">
        <v>2636</v>
      </c>
      <c r="B143" t="s">
        <v>604</v>
      </c>
      <c r="C143" t="s">
        <v>2482</v>
      </c>
      <c r="D143" t="s">
        <v>2504</v>
      </c>
      <c r="E143">
        <v>3</v>
      </c>
      <c r="F143">
        <v>5</v>
      </c>
      <c r="G143" t="s">
        <v>1541</v>
      </c>
    </row>
    <row r="144" spans="1:7">
      <c r="A144" t="s">
        <v>2637</v>
      </c>
      <c r="B144" t="s">
        <v>2065</v>
      </c>
      <c r="C144" t="s">
        <v>2485</v>
      </c>
      <c r="D144" t="s">
        <v>2504</v>
      </c>
      <c r="E144">
        <v>10</v>
      </c>
      <c r="F144">
        <v>1</v>
      </c>
      <c r="G144" t="s">
        <v>811</v>
      </c>
    </row>
    <row r="145" spans="1:7">
      <c r="A145" t="s">
        <v>2638</v>
      </c>
      <c r="B145" t="s">
        <v>1941</v>
      </c>
      <c r="C145" t="s">
        <v>2482</v>
      </c>
      <c r="D145" t="s">
        <v>2491</v>
      </c>
      <c r="E145">
        <v>7</v>
      </c>
      <c r="F145">
        <v>5</v>
      </c>
      <c r="G145" t="s">
        <v>1091</v>
      </c>
    </row>
    <row r="146" spans="1:7">
      <c r="A146" t="s">
        <v>2639</v>
      </c>
      <c r="B146" t="s">
        <v>781</v>
      </c>
      <c r="C146" t="s">
        <v>2493</v>
      </c>
      <c r="D146" t="s">
        <v>2491</v>
      </c>
      <c r="E146">
        <v>8</v>
      </c>
      <c r="F146">
        <v>1</v>
      </c>
      <c r="G146" t="s">
        <v>485</v>
      </c>
    </row>
    <row r="147" spans="1:7">
      <c r="A147" t="s">
        <v>2640</v>
      </c>
      <c r="B147" t="s">
        <v>848</v>
      </c>
      <c r="C147" t="s">
        <v>2476</v>
      </c>
      <c r="D147" t="s">
        <v>2491</v>
      </c>
      <c r="E147">
        <v>3</v>
      </c>
      <c r="F147">
        <v>3</v>
      </c>
      <c r="G147" t="s">
        <v>1829</v>
      </c>
    </row>
    <row r="148" spans="1:7">
      <c r="A148" t="s">
        <v>2641</v>
      </c>
      <c r="B148" t="s">
        <v>1238</v>
      </c>
      <c r="C148" t="s">
        <v>2479</v>
      </c>
      <c r="D148" t="s">
        <v>2480</v>
      </c>
      <c r="E148">
        <v>8</v>
      </c>
      <c r="F148">
        <v>2</v>
      </c>
      <c r="G148" t="s">
        <v>232</v>
      </c>
    </row>
    <row r="149" spans="1:7">
      <c r="A149" t="s">
        <v>2642</v>
      </c>
      <c r="B149" t="s">
        <v>694</v>
      </c>
      <c r="C149" t="s">
        <v>2476</v>
      </c>
      <c r="D149" t="s">
        <v>2480</v>
      </c>
      <c r="E149">
        <v>8</v>
      </c>
      <c r="F149">
        <v>2</v>
      </c>
      <c r="G149" t="s">
        <v>2643</v>
      </c>
    </row>
    <row r="150" spans="1:7">
      <c r="A150" t="s">
        <v>2644</v>
      </c>
      <c r="B150" t="s">
        <v>2095</v>
      </c>
      <c r="C150" t="s">
        <v>2493</v>
      </c>
      <c r="D150" t="s">
        <v>2504</v>
      </c>
      <c r="E150">
        <v>4</v>
      </c>
      <c r="F150">
        <v>4</v>
      </c>
      <c r="G150" t="s">
        <v>2007</v>
      </c>
    </row>
    <row r="151" spans="1:7">
      <c r="A151" t="s">
        <v>2645</v>
      </c>
      <c r="B151" t="s">
        <v>1554</v>
      </c>
      <c r="C151" t="s">
        <v>2485</v>
      </c>
      <c r="D151" t="s">
        <v>2480</v>
      </c>
      <c r="E151">
        <v>4</v>
      </c>
      <c r="F151">
        <v>5</v>
      </c>
      <c r="G151" t="s">
        <v>876</v>
      </c>
    </row>
    <row r="152" spans="1:7">
      <c r="A152" t="s">
        <v>2646</v>
      </c>
      <c r="B152" t="s">
        <v>2275</v>
      </c>
      <c r="C152" t="s">
        <v>2479</v>
      </c>
      <c r="D152" t="s">
        <v>2477</v>
      </c>
      <c r="E152">
        <v>9</v>
      </c>
      <c r="F152">
        <v>2</v>
      </c>
      <c r="G152" t="s">
        <v>2342</v>
      </c>
    </row>
    <row r="153" spans="1:7">
      <c r="A153" t="s">
        <v>2647</v>
      </c>
      <c r="B153" t="s">
        <v>857</v>
      </c>
      <c r="C153" t="s">
        <v>2482</v>
      </c>
      <c r="D153" t="s">
        <v>2480</v>
      </c>
      <c r="E153">
        <v>1</v>
      </c>
      <c r="F153">
        <v>1</v>
      </c>
      <c r="G153" t="s">
        <v>1555</v>
      </c>
    </row>
    <row r="154" spans="1:7">
      <c r="A154" t="s">
        <v>2648</v>
      </c>
      <c r="B154" t="s">
        <v>550</v>
      </c>
      <c r="C154" t="s">
        <v>2476</v>
      </c>
      <c r="D154" t="s">
        <v>2504</v>
      </c>
      <c r="E154">
        <v>4</v>
      </c>
      <c r="F154">
        <v>5</v>
      </c>
      <c r="G154" t="s">
        <v>755</v>
      </c>
    </row>
    <row r="155" spans="1:7">
      <c r="A155" t="s">
        <v>2649</v>
      </c>
      <c r="B155" t="s">
        <v>2378</v>
      </c>
      <c r="C155" t="s">
        <v>2482</v>
      </c>
      <c r="D155" t="s">
        <v>2504</v>
      </c>
      <c r="E155">
        <v>2</v>
      </c>
      <c r="F155">
        <v>2</v>
      </c>
      <c r="G155" t="s">
        <v>749</v>
      </c>
    </row>
    <row r="156" spans="1:7">
      <c r="A156" t="s">
        <v>2650</v>
      </c>
      <c r="B156" t="s">
        <v>627</v>
      </c>
      <c r="C156" t="s">
        <v>2482</v>
      </c>
      <c r="D156" t="s">
        <v>2477</v>
      </c>
      <c r="E156">
        <v>5</v>
      </c>
      <c r="F156">
        <v>4</v>
      </c>
      <c r="G156" t="s">
        <v>123</v>
      </c>
    </row>
    <row r="157" spans="1:7">
      <c r="A157" t="s">
        <v>2651</v>
      </c>
      <c r="B157" t="s">
        <v>2288</v>
      </c>
      <c r="C157" t="s">
        <v>2493</v>
      </c>
      <c r="D157" t="s">
        <v>2477</v>
      </c>
      <c r="E157">
        <v>2</v>
      </c>
      <c r="F157">
        <v>1</v>
      </c>
      <c r="G157" t="s">
        <v>1003</v>
      </c>
    </row>
    <row r="158" spans="1:7">
      <c r="A158" t="s">
        <v>2652</v>
      </c>
      <c r="B158" t="s">
        <v>2074</v>
      </c>
      <c r="C158" t="s">
        <v>2482</v>
      </c>
      <c r="D158" t="s">
        <v>2504</v>
      </c>
      <c r="E158">
        <v>1</v>
      </c>
      <c r="F158">
        <v>2</v>
      </c>
      <c r="G158" t="s">
        <v>571</v>
      </c>
    </row>
    <row r="159" spans="1:7">
      <c r="A159" t="s">
        <v>2653</v>
      </c>
      <c r="B159" t="s">
        <v>2344</v>
      </c>
      <c r="C159" t="s">
        <v>2479</v>
      </c>
      <c r="D159" t="s">
        <v>2504</v>
      </c>
      <c r="E159">
        <v>10</v>
      </c>
      <c r="F159">
        <v>3</v>
      </c>
      <c r="G159" t="s">
        <v>153</v>
      </c>
    </row>
    <row r="160" spans="1:7">
      <c r="A160" t="s">
        <v>2654</v>
      </c>
      <c r="B160" t="s">
        <v>357</v>
      </c>
      <c r="C160" t="s">
        <v>2485</v>
      </c>
      <c r="D160" t="s">
        <v>2491</v>
      </c>
      <c r="E160">
        <v>8</v>
      </c>
      <c r="F160">
        <v>3</v>
      </c>
      <c r="G160" t="s">
        <v>1609</v>
      </c>
    </row>
    <row r="161" spans="1:7">
      <c r="A161" t="s">
        <v>2655</v>
      </c>
      <c r="B161" t="s">
        <v>2341</v>
      </c>
      <c r="C161" t="s">
        <v>2493</v>
      </c>
      <c r="D161" t="s">
        <v>2477</v>
      </c>
      <c r="E161">
        <v>4</v>
      </c>
      <c r="F161">
        <v>3</v>
      </c>
      <c r="G161" t="s">
        <v>1291</v>
      </c>
    </row>
    <row r="162" spans="1:7">
      <c r="A162" t="s">
        <v>2656</v>
      </c>
      <c r="B162" t="s">
        <v>1125</v>
      </c>
      <c r="C162" t="s">
        <v>2485</v>
      </c>
      <c r="D162" t="s">
        <v>2504</v>
      </c>
      <c r="E162">
        <v>10</v>
      </c>
      <c r="F162">
        <v>3</v>
      </c>
      <c r="G162" t="s">
        <v>1658</v>
      </c>
    </row>
    <row r="163" spans="1:7">
      <c r="A163" t="s">
        <v>2657</v>
      </c>
      <c r="B163" t="s">
        <v>1253</v>
      </c>
      <c r="C163" t="s">
        <v>2476</v>
      </c>
      <c r="D163" t="s">
        <v>2477</v>
      </c>
      <c r="E163">
        <v>9</v>
      </c>
      <c r="F163">
        <v>5</v>
      </c>
      <c r="G163" t="s">
        <v>477</v>
      </c>
    </row>
    <row r="164" spans="1:7">
      <c r="A164" t="s">
        <v>2658</v>
      </c>
      <c r="B164" t="s">
        <v>1525</v>
      </c>
      <c r="C164" t="s">
        <v>2493</v>
      </c>
      <c r="D164" t="s">
        <v>2504</v>
      </c>
      <c r="E164">
        <v>1</v>
      </c>
      <c r="F164">
        <v>1</v>
      </c>
      <c r="G164" t="s">
        <v>917</v>
      </c>
    </row>
    <row r="165" spans="1:7">
      <c r="A165" t="s">
        <v>2659</v>
      </c>
      <c r="B165" t="s">
        <v>523</v>
      </c>
      <c r="C165" t="s">
        <v>2493</v>
      </c>
      <c r="D165" t="s">
        <v>2477</v>
      </c>
      <c r="E165">
        <v>2</v>
      </c>
      <c r="F165">
        <v>2</v>
      </c>
      <c r="G165" t="s">
        <v>1597</v>
      </c>
    </row>
    <row r="166" spans="1:7">
      <c r="A166" t="s">
        <v>2660</v>
      </c>
      <c r="B166" t="s">
        <v>2163</v>
      </c>
      <c r="C166" t="s">
        <v>2482</v>
      </c>
      <c r="D166" t="s">
        <v>2480</v>
      </c>
      <c r="E166">
        <v>4</v>
      </c>
      <c r="F166">
        <v>1</v>
      </c>
      <c r="G166" t="s">
        <v>1319</v>
      </c>
    </row>
    <row r="167" spans="1:7">
      <c r="A167" t="s">
        <v>2661</v>
      </c>
      <c r="B167" t="s">
        <v>1814</v>
      </c>
      <c r="C167" t="s">
        <v>2485</v>
      </c>
      <c r="D167" t="s">
        <v>2480</v>
      </c>
      <c r="E167">
        <v>3</v>
      </c>
      <c r="F167">
        <v>3</v>
      </c>
      <c r="G167" t="s">
        <v>1929</v>
      </c>
    </row>
    <row r="168" spans="1:7">
      <c r="A168" t="s">
        <v>2662</v>
      </c>
      <c r="B168" t="s">
        <v>2070</v>
      </c>
      <c r="C168" t="s">
        <v>2479</v>
      </c>
      <c r="D168" t="s">
        <v>2491</v>
      </c>
      <c r="E168">
        <v>9</v>
      </c>
      <c r="F168">
        <v>2</v>
      </c>
      <c r="G168" t="s">
        <v>1433</v>
      </c>
    </row>
    <row r="169" spans="1:7">
      <c r="A169" t="s">
        <v>2663</v>
      </c>
      <c r="B169" t="s">
        <v>537</v>
      </c>
      <c r="C169" t="s">
        <v>2485</v>
      </c>
      <c r="D169" t="s">
        <v>2491</v>
      </c>
      <c r="E169">
        <v>7</v>
      </c>
      <c r="F169">
        <v>5</v>
      </c>
      <c r="G169" t="s">
        <v>825</v>
      </c>
    </row>
    <row r="170" spans="1:7">
      <c r="A170" t="s">
        <v>2664</v>
      </c>
      <c r="B170" t="s">
        <v>1359</v>
      </c>
      <c r="C170" t="s">
        <v>2476</v>
      </c>
      <c r="D170" t="s">
        <v>2504</v>
      </c>
      <c r="E170">
        <v>9</v>
      </c>
      <c r="F170">
        <v>1</v>
      </c>
      <c r="G170" t="s">
        <v>551</v>
      </c>
    </row>
    <row r="171" spans="1:7">
      <c r="A171" t="s">
        <v>2665</v>
      </c>
      <c r="B171" t="s">
        <v>696</v>
      </c>
      <c r="C171" t="s">
        <v>2476</v>
      </c>
      <c r="D171" t="s">
        <v>2480</v>
      </c>
      <c r="E171">
        <v>3</v>
      </c>
      <c r="F171">
        <v>3</v>
      </c>
      <c r="G171" t="s">
        <v>515</v>
      </c>
    </row>
    <row r="172" spans="1:7">
      <c r="A172" t="s">
        <v>2666</v>
      </c>
      <c r="B172" t="s">
        <v>2001</v>
      </c>
      <c r="C172" t="s">
        <v>2479</v>
      </c>
      <c r="D172" t="s">
        <v>2491</v>
      </c>
      <c r="E172">
        <v>4</v>
      </c>
      <c r="F172">
        <v>1</v>
      </c>
      <c r="G172" t="s">
        <v>1120</v>
      </c>
    </row>
    <row r="173" spans="1:7">
      <c r="A173" t="s">
        <v>2667</v>
      </c>
      <c r="B173" t="s">
        <v>1454</v>
      </c>
      <c r="C173" t="s">
        <v>2493</v>
      </c>
      <c r="D173" t="s">
        <v>2491</v>
      </c>
      <c r="E173">
        <v>6</v>
      </c>
      <c r="F173">
        <v>1</v>
      </c>
      <c r="G173" t="s">
        <v>1590</v>
      </c>
    </row>
    <row r="174" spans="1:7">
      <c r="A174" t="s">
        <v>2668</v>
      </c>
      <c r="B174" t="s">
        <v>1024</v>
      </c>
      <c r="C174" t="s">
        <v>2485</v>
      </c>
      <c r="D174" t="s">
        <v>2491</v>
      </c>
      <c r="E174">
        <v>5</v>
      </c>
      <c r="F174">
        <v>4</v>
      </c>
      <c r="G174" t="s">
        <v>2367</v>
      </c>
    </row>
    <row r="175" spans="1:7">
      <c r="A175" t="s">
        <v>2669</v>
      </c>
      <c r="B175" t="s">
        <v>1596</v>
      </c>
      <c r="C175" t="s">
        <v>2482</v>
      </c>
      <c r="D175" t="s">
        <v>2480</v>
      </c>
      <c r="E175">
        <v>2</v>
      </c>
      <c r="F175">
        <v>1</v>
      </c>
      <c r="G175" t="s">
        <v>843</v>
      </c>
    </row>
    <row r="176" spans="1:7">
      <c r="A176" t="s">
        <v>2670</v>
      </c>
      <c r="B176" t="s">
        <v>315</v>
      </c>
      <c r="C176" t="s">
        <v>2493</v>
      </c>
      <c r="D176" t="s">
        <v>2491</v>
      </c>
      <c r="E176">
        <v>1</v>
      </c>
      <c r="F176">
        <v>4</v>
      </c>
      <c r="G176" t="s">
        <v>203</v>
      </c>
    </row>
    <row r="177" spans="1:7">
      <c r="A177" t="s">
        <v>2671</v>
      </c>
      <c r="B177" t="s">
        <v>845</v>
      </c>
      <c r="C177" t="s">
        <v>2485</v>
      </c>
      <c r="D177" t="s">
        <v>2491</v>
      </c>
      <c r="E177">
        <v>8</v>
      </c>
      <c r="F177">
        <v>2</v>
      </c>
      <c r="G177" t="s">
        <v>2672</v>
      </c>
    </row>
    <row r="178" spans="1:7">
      <c r="A178" t="s">
        <v>2673</v>
      </c>
      <c r="B178" t="s">
        <v>890</v>
      </c>
      <c r="C178" t="s">
        <v>2476</v>
      </c>
      <c r="D178" t="s">
        <v>2477</v>
      </c>
      <c r="E178">
        <v>4</v>
      </c>
      <c r="F178">
        <v>3</v>
      </c>
      <c r="G178" t="s">
        <v>349</v>
      </c>
    </row>
    <row r="179" spans="1:7">
      <c r="A179" t="s">
        <v>2674</v>
      </c>
      <c r="B179" t="s">
        <v>523</v>
      </c>
      <c r="C179" t="s">
        <v>2482</v>
      </c>
      <c r="D179" t="s">
        <v>2480</v>
      </c>
      <c r="E179">
        <v>2</v>
      </c>
      <c r="F179">
        <v>4</v>
      </c>
      <c r="G179" t="s">
        <v>226</v>
      </c>
    </row>
    <row r="180" spans="1:7">
      <c r="A180" t="s">
        <v>2675</v>
      </c>
      <c r="B180" t="s">
        <v>1498</v>
      </c>
      <c r="C180" t="s">
        <v>2479</v>
      </c>
      <c r="D180" t="s">
        <v>2480</v>
      </c>
      <c r="E180">
        <v>1</v>
      </c>
      <c r="F180">
        <v>3</v>
      </c>
      <c r="G180" t="s">
        <v>229</v>
      </c>
    </row>
    <row r="181" spans="1:7">
      <c r="A181" t="s">
        <v>2676</v>
      </c>
      <c r="B181" t="s">
        <v>618</v>
      </c>
      <c r="C181" t="s">
        <v>2482</v>
      </c>
      <c r="D181" t="s">
        <v>2477</v>
      </c>
      <c r="E181">
        <v>4</v>
      </c>
      <c r="F181">
        <v>2</v>
      </c>
      <c r="G181" t="s">
        <v>1371</v>
      </c>
    </row>
    <row r="182" spans="1:7">
      <c r="A182" t="s">
        <v>2677</v>
      </c>
      <c r="B182" t="s">
        <v>1375</v>
      </c>
      <c r="C182" t="s">
        <v>2476</v>
      </c>
      <c r="D182" t="s">
        <v>2480</v>
      </c>
      <c r="E182">
        <v>5</v>
      </c>
      <c r="F182">
        <v>4</v>
      </c>
      <c r="G182" t="s">
        <v>1516</v>
      </c>
    </row>
    <row r="183" spans="1:7">
      <c r="A183" t="s">
        <v>2678</v>
      </c>
      <c r="B183" t="s">
        <v>1547</v>
      </c>
      <c r="C183" t="s">
        <v>2493</v>
      </c>
      <c r="D183" t="s">
        <v>2477</v>
      </c>
      <c r="E183">
        <v>1</v>
      </c>
      <c r="F183">
        <v>4</v>
      </c>
      <c r="G183" t="s">
        <v>2679</v>
      </c>
    </row>
    <row r="184" spans="1:7">
      <c r="A184" t="s">
        <v>2680</v>
      </c>
      <c r="B184" t="s">
        <v>214</v>
      </c>
      <c r="C184" t="s">
        <v>2485</v>
      </c>
      <c r="D184" t="s">
        <v>2477</v>
      </c>
      <c r="E184">
        <v>1</v>
      </c>
      <c r="F184">
        <v>3</v>
      </c>
      <c r="G184" t="s">
        <v>135</v>
      </c>
    </row>
    <row r="185" spans="1:7">
      <c r="A185" t="s">
        <v>2681</v>
      </c>
      <c r="B185" t="s">
        <v>1599</v>
      </c>
      <c r="C185" t="s">
        <v>2493</v>
      </c>
      <c r="D185" t="s">
        <v>2477</v>
      </c>
      <c r="E185">
        <v>1</v>
      </c>
      <c r="F185">
        <v>2</v>
      </c>
      <c r="G185" t="s">
        <v>488</v>
      </c>
    </row>
    <row r="186" spans="1:7">
      <c r="A186" t="s">
        <v>2682</v>
      </c>
      <c r="B186" t="s">
        <v>667</v>
      </c>
      <c r="C186" t="s">
        <v>2479</v>
      </c>
      <c r="D186" t="s">
        <v>2491</v>
      </c>
      <c r="E186">
        <v>8</v>
      </c>
      <c r="F186">
        <v>1</v>
      </c>
      <c r="G186" t="s">
        <v>1767</v>
      </c>
    </row>
    <row r="187" spans="1:7">
      <c r="A187" t="s">
        <v>2683</v>
      </c>
      <c r="B187" t="s">
        <v>394</v>
      </c>
      <c r="C187" t="s">
        <v>2476</v>
      </c>
      <c r="D187" t="s">
        <v>2480</v>
      </c>
      <c r="E187">
        <v>8</v>
      </c>
      <c r="F187">
        <v>2</v>
      </c>
      <c r="G187" t="s">
        <v>2684</v>
      </c>
    </row>
    <row r="188" spans="1:7">
      <c r="A188" t="s">
        <v>2685</v>
      </c>
      <c r="B188" t="s">
        <v>225</v>
      </c>
      <c r="C188" t="s">
        <v>2493</v>
      </c>
      <c r="D188" t="s">
        <v>2477</v>
      </c>
      <c r="E188">
        <v>10</v>
      </c>
      <c r="F188">
        <v>1</v>
      </c>
      <c r="G188" t="s">
        <v>491</v>
      </c>
    </row>
    <row r="189" spans="1:7">
      <c r="A189" t="s">
        <v>2686</v>
      </c>
      <c r="B189" t="s">
        <v>1766</v>
      </c>
      <c r="C189" t="s">
        <v>2493</v>
      </c>
      <c r="D189" t="s">
        <v>2491</v>
      </c>
      <c r="E189">
        <v>6</v>
      </c>
      <c r="F189">
        <v>1</v>
      </c>
      <c r="G189" t="s">
        <v>524</v>
      </c>
    </row>
    <row r="190" spans="1:7">
      <c r="A190" t="s">
        <v>2687</v>
      </c>
      <c r="B190" t="s">
        <v>1596</v>
      </c>
      <c r="C190" t="s">
        <v>2476</v>
      </c>
      <c r="D190" t="s">
        <v>2491</v>
      </c>
      <c r="E190">
        <v>10</v>
      </c>
      <c r="F190">
        <v>1</v>
      </c>
      <c r="G190" t="s">
        <v>361</v>
      </c>
    </row>
    <row r="191" spans="1:7">
      <c r="A191" t="s">
        <v>2688</v>
      </c>
      <c r="B191" t="s">
        <v>1361</v>
      </c>
      <c r="C191" t="s">
        <v>2493</v>
      </c>
      <c r="D191" t="s">
        <v>2480</v>
      </c>
      <c r="E191">
        <v>4</v>
      </c>
      <c r="F191">
        <v>1</v>
      </c>
      <c r="G191" t="s">
        <v>319</v>
      </c>
    </row>
    <row r="192" spans="1:7">
      <c r="A192" t="s">
        <v>2689</v>
      </c>
      <c r="B192" t="s">
        <v>1462</v>
      </c>
      <c r="C192" t="s">
        <v>2493</v>
      </c>
      <c r="D192" t="s">
        <v>2480</v>
      </c>
      <c r="E192">
        <v>7</v>
      </c>
      <c r="F192">
        <v>1</v>
      </c>
      <c r="G192" t="s">
        <v>2690</v>
      </c>
    </row>
    <row r="193" spans="1:7">
      <c r="A193" t="s">
        <v>2691</v>
      </c>
      <c r="B193" t="s">
        <v>2169</v>
      </c>
      <c r="C193" t="s">
        <v>2479</v>
      </c>
      <c r="D193" t="s">
        <v>2480</v>
      </c>
      <c r="E193">
        <v>9</v>
      </c>
      <c r="F193">
        <v>1</v>
      </c>
      <c r="G193" t="s">
        <v>1383</v>
      </c>
    </row>
    <row r="194" spans="1:7">
      <c r="A194" t="s">
        <v>2692</v>
      </c>
      <c r="B194" t="s">
        <v>2355</v>
      </c>
      <c r="C194" t="s">
        <v>2493</v>
      </c>
      <c r="D194" t="s">
        <v>2504</v>
      </c>
      <c r="E194">
        <v>2</v>
      </c>
      <c r="F194">
        <v>3</v>
      </c>
      <c r="G194" t="s">
        <v>2693</v>
      </c>
    </row>
    <row r="195" spans="1:7">
      <c r="A195" t="s">
        <v>2694</v>
      </c>
      <c r="B195" t="s">
        <v>1198</v>
      </c>
      <c r="C195" t="s">
        <v>2479</v>
      </c>
      <c r="D195" t="s">
        <v>2477</v>
      </c>
      <c r="E195">
        <v>4</v>
      </c>
      <c r="F195">
        <v>5</v>
      </c>
      <c r="G195" t="s">
        <v>1266</v>
      </c>
    </row>
    <row r="196" spans="1:7">
      <c r="A196" t="s">
        <v>2695</v>
      </c>
      <c r="B196" t="s">
        <v>1512</v>
      </c>
      <c r="C196" t="s">
        <v>2476</v>
      </c>
      <c r="D196" t="s">
        <v>2477</v>
      </c>
      <c r="E196">
        <v>8</v>
      </c>
      <c r="F196">
        <v>5</v>
      </c>
      <c r="G196" t="s">
        <v>1597</v>
      </c>
    </row>
    <row r="197" spans="1:7">
      <c r="A197" t="s">
        <v>2696</v>
      </c>
      <c r="B197" t="s">
        <v>34</v>
      </c>
      <c r="C197" t="s">
        <v>2476</v>
      </c>
      <c r="D197" t="s">
        <v>2504</v>
      </c>
      <c r="E197">
        <v>3</v>
      </c>
      <c r="F197">
        <v>1</v>
      </c>
      <c r="G197" t="s">
        <v>565</v>
      </c>
    </row>
    <row r="198" spans="1:7">
      <c r="A198" t="s">
        <v>2697</v>
      </c>
      <c r="B198" t="s">
        <v>1363</v>
      </c>
      <c r="C198" t="s">
        <v>2476</v>
      </c>
      <c r="D198" t="s">
        <v>2491</v>
      </c>
      <c r="E198">
        <v>8</v>
      </c>
      <c r="F198">
        <v>1</v>
      </c>
      <c r="G198" t="s">
        <v>608</v>
      </c>
    </row>
    <row r="199" spans="1:7">
      <c r="A199" t="s">
        <v>2698</v>
      </c>
      <c r="B199" t="s">
        <v>1521</v>
      </c>
      <c r="C199" t="s">
        <v>2485</v>
      </c>
      <c r="D199" t="s">
        <v>2504</v>
      </c>
      <c r="E199">
        <v>4</v>
      </c>
      <c r="F199">
        <v>4</v>
      </c>
      <c r="G199" t="s">
        <v>424</v>
      </c>
    </row>
    <row r="200" spans="1:7">
      <c r="A200" t="s">
        <v>2699</v>
      </c>
      <c r="B200" t="s">
        <v>999</v>
      </c>
      <c r="C200" t="s">
        <v>2479</v>
      </c>
      <c r="D200" t="s">
        <v>2504</v>
      </c>
      <c r="E200">
        <v>10</v>
      </c>
      <c r="F200">
        <v>4</v>
      </c>
      <c r="G200" t="s">
        <v>846</v>
      </c>
    </row>
    <row r="201" spans="1:7">
      <c r="A201" t="s">
        <v>2700</v>
      </c>
      <c r="B201" t="s">
        <v>1341</v>
      </c>
      <c r="C201" t="s">
        <v>2485</v>
      </c>
      <c r="D201" t="s">
        <v>2480</v>
      </c>
      <c r="E201">
        <v>7</v>
      </c>
      <c r="F201">
        <v>4</v>
      </c>
      <c r="G201" t="s">
        <v>488</v>
      </c>
    </row>
    <row r="202" spans="1:7">
      <c r="A202" t="s">
        <v>2701</v>
      </c>
      <c r="B202" t="s">
        <v>1399</v>
      </c>
      <c r="C202" t="s">
        <v>2482</v>
      </c>
      <c r="D202" t="s">
        <v>2477</v>
      </c>
      <c r="E202">
        <v>3</v>
      </c>
      <c r="F202">
        <v>4</v>
      </c>
      <c r="G202" t="s">
        <v>773</v>
      </c>
    </row>
    <row r="203" spans="1:7">
      <c r="A203" t="s">
        <v>2702</v>
      </c>
      <c r="B203" t="s">
        <v>1051</v>
      </c>
      <c r="C203" t="s">
        <v>2476</v>
      </c>
      <c r="D203" t="s">
        <v>2477</v>
      </c>
      <c r="E203">
        <v>9</v>
      </c>
      <c r="F203">
        <v>4</v>
      </c>
      <c r="G203" t="s">
        <v>462</v>
      </c>
    </row>
    <row r="204" spans="1:7">
      <c r="A204" t="s">
        <v>2703</v>
      </c>
      <c r="B204" t="s">
        <v>354</v>
      </c>
      <c r="C204" t="s">
        <v>2485</v>
      </c>
      <c r="D204" t="s">
        <v>2477</v>
      </c>
      <c r="E204">
        <v>1</v>
      </c>
      <c r="F204">
        <v>1</v>
      </c>
      <c r="G204" t="s">
        <v>144</v>
      </c>
    </row>
    <row r="205" spans="1:7">
      <c r="A205" t="s">
        <v>2704</v>
      </c>
      <c r="B205" t="s">
        <v>2277</v>
      </c>
      <c r="C205" t="s">
        <v>2485</v>
      </c>
      <c r="D205" t="s">
        <v>2480</v>
      </c>
      <c r="E205">
        <v>1</v>
      </c>
      <c r="F205">
        <v>2</v>
      </c>
      <c r="G205" t="s">
        <v>1099</v>
      </c>
    </row>
    <row r="206" spans="1:7">
      <c r="A206" t="s">
        <v>2705</v>
      </c>
      <c r="B206" t="s">
        <v>643</v>
      </c>
      <c r="C206" t="s">
        <v>2485</v>
      </c>
      <c r="D206" t="s">
        <v>2504</v>
      </c>
      <c r="E206">
        <v>3</v>
      </c>
      <c r="F206">
        <v>5</v>
      </c>
      <c r="G206" t="s">
        <v>203</v>
      </c>
    </row>
    <row r="207" spans="1:7">
      <c r="A207" t="s">
        <v>2706</v>
      </c>
      <c r="B207" t="s">
        <v>2386</v>
      </c>
      <c r="C207" t="s">
        <v>2482</v>
      </c>
      <c r="D207" t="s">
        <v>2480</v>
      </c>
      <c r="E207">
        <v>5</v>
      </c>
      <c r="F207">
        <v>2</v>
      </c>
      <c r="G207" t="s">
        <v>846</v>
      </c>
    </row>
    <row r="208" spans="1:7">
      <c r="A208" t="s">
        <v>2707</v>
      </c>
      <c r="B208" t="s">
        <v>999</v>
      </c>
      <c r="C208" t="s">
        <v>2493</v>
      </c>
      <c r="D208" t="s">
        <v>2504</v>
      </c>
      <c r="E208">
        <v>6</v>
      </c>
      <c r="F208">
        <v>1</v>
      </c>
      <c r="G208" t="s">
        <v>727</v>
      </c>
    </row>
    <row r="209" spans="1:7">
      <c r="A209" t="s">
        <v>2708</v>
      </c>
      <c r="B209" t="s">
        <v>2139</v>
      </c>
      <c r="C209" t="s">
        <v>2476</v>
      </c>
      <c r="D209" t="s">
        <v>2504</v>
      </c>
      <c r="E209">
        <v>4</v>
      </c>
      <c r="F209">
        <v>3</v>
      </c>
      <c r="G209" t="s">
        <v>2193</v>
      </c>
    </row>
    <row r="210" spans="1:7">
      <c r="A210" t="s">
        <v>2709</v>
      </c>
      <c r="B210" t="s">
        <v>1443</v>
      </c>
      <c r="C210" t="s">
        <v>2479</v>
      </c>
      <c r="D210" t="s">
        <v>2504</v>
      </c>
      <c r="E210">
        <v>8</v>
      </c>
      <c r="F210">
        <v>1</v>
      </c>
      <c r="G210" t="s">
        <v>899</v>
      </c>
    </row>
    <row r="211" spans="1:7">
      <c r="A211" t="s">
        <v>2710</v>
      </c>
      <c r="B211" t="s">
        <v>2160</v>
      </c>
      <c r="C211" t="s">
        <v>2479</v>
      </c>
      <c r="D211" t="s">
        <v>2480</v>
      </c>
      <c r="E211">
        <v>7</v>
      </c>
      <c r="F211">
        <v>4</v>
      </c>
      <c r="G211" t="s">
        <v>232</v>
      </c>
    </row>
    <row r="212" spans="1:7">
      <c r="A212" t="s">
        <v>2711</v>
      </c>
      <c r="B212" t="s">
        <v>1193</v>
      </c>
      <c r="C212" t="s">
        <v>2479</v>
      </c>
      <c r="D212" t="s">
        <v>2477</v>
      </c>
      <c r="E212">
        <v>4</v>
      </c>
      <c r="F212">
        <v>1</v>
      </c>
      <c r="G212" t="s">
        <v>515</v>
      </c>
    </row>
    <row r="213" spans="1:7">
      <c r="A213" t="s">
        <v>2712</v>
      </c>
      <c r="B213" t="s">
        <v>1163</v>
      </c>
      <c r="C213" t="s">
        <v>2476</v>
      </c>
      <c r="D213" t="s">
        <v>2480</v>
      </c>
      <c r="E213">
        <v>1</v>
      </c>
      <c r="F213">
        <v>2</v>
      </c>
      <c r="G213" t="s">
        <v>1932</v>
      </c>
    </row>
    <row r="214" spans="1:7">
      <c r="A214" t="s">
        <v>2713</v>
      </c>
      <c r="B214" t="s">
        <v>1824</v>
      </c>
      <c r="C214" t="s">
        <v>2479</v>
      </c>
      <c r="D214" t="s">
        <v>2480</v>
      </c>
      <c r="E214">
        <v>7</v>
      </c>
      <c r="F214">
        <v>1</v>
      </c>
      <c r="G214" t="s">
        <v>2436</v>
      </c>
    </row>
    <row r="215" spans="1:7">
      <c r="A215" t="s">
        <v>2714</v>
      </c>
      <c r="B215" t="s">
        <v>875</v>
      </c>
      <c r="C215" t="s">
        <v>2493</v>
      </c>
      <c r="D215" t="s">
        <v>2480</v>
      </c>
      <c r="E215">
        <v>8</v>
      </c>
      <c r="F215">
        <v>3</v>
      </c>
      <c r="G215" t="s">
        <v>1991</v>
      </c>
    </row>
    <row r="216" spans="1:7">
      <c r="A216" t="s">
        <v>2715</v>
      </c>
      <c r="B216" t="s">
        <v>1518</v>
      </c>
      <c r="C216" t="s">
        <v>2493</v>
      </c>
      <c r="D216" t="s">
        <v>2491</v>
      </c>
      <c r="E216">
        <v>4</v>
      </c>
      <c r="F216">
        <v>4</v>
      </c>
      <c r="G216" t="s">
        <v>961</v>
      </c>
    </row>
    <row r="217" spans="1:7">
      <c r="A217" t="s">
        <v>2716</v>
      </c>
      <c r="B217" t="s">
        <v>1881</v>
      </c>
      <c r="C217" t="s">
        <v>2482</v>
      </c>
      <c r="D217" t="s">
        <v>2480</v>
      </c>
      <c r="E217">
        <v>4</v>
      </c>
      <c r="F217">
        <v>1</v>
      </c>
      <c r="G217" t="s">
        <v>153</v>
      </c>
    </row>
    <row r="218" spans="1:7">
      <c r="A218" t="s">
        <v>2717</v>
      </c>
      <c r="B218" t="s">
        <v>2341</v>
      </c>
      <c r="C218" t="s">
        <v>2479</v>
      </c>
      <c r="D218" t="s">
        <v>2504</v>
      </c>
      <c r="E218">
        <v>4</v>
      </c>
      <c r="F218">
        <v>4</v>
      </c>
      <c r="G218" t="s">
        <v>1011</v>
      </c>
    </row>
    <row r="219" spans="1:7">
      <c r="A219" t="s">
        <v>2718</v>
      </c>
      <c r="B219" t="s">
        <v>1375</v>
      </c>
      <c r="C219" t="s">
        <v>2485</v>
      </c>
      <c r="D219" t="s">
        <v>2491</v>
      </c>
      <c r="E219">
        <v>10</v>
      </c>
      <c r="F219">
        <v>1</v>
      </c>
      <c r="G219" t="s">
        <v>1336</v>
      </c>
    </row>
    <row r="220" spans="1:7">
      <c r="A220" t="s">
        <v>2719</v>
      </c>
      <c r="B220" t="s">
        <v>1902</v>
      </c>
      <c r="C220" t="s">
        <v>2493</v>
      </c>
      <c r="D220" t="s">
        <v>2504</v>
      </c>
      <c r="E220">
        <v>8</v>
      </c>
      <c r="F220">
        <v>2</v>
      </c>
      <c r="G220" t="s">
        <v>1073</v>
      </c>
    </row>
    <row r="221" spans="1:7">
      <c r="A221" t="s">
        <v>2720</v>
      </c>
      <c r="B221" t="s">
        <v>664</v>
      </c>
      <c r="C221" t="s">
        <v>2493</v>
      </c>
      <c r="D221" t="s">
        <v>2491</v>
      </c>
      <c r="E221">
        <v>1</v>
      </c>
      <c r="F221">
        <v>5</v>
      </c>
      <c r="G221" t="s">
        <v>2231</v>
      </c>
    </row>
    <row r="222" spans="1:7">
      <c r="A222" t="s">
        <v>2721</v>
      </c>
      <c r="B222" t="s">
        <v>324</v>
      </c>
      <c r="C222" t="s">
        <v>2479</v>
      </c>
      <c r="D222" t="s">
        <v>2491</v>
      </c>
      <c r="E222">
        <v>1</v>
      </c>
      <c r="F222">
        <v>3</v>
      </c>
      <c r="G222" t="s">
        <v>1355</v>
      </c>
    </row>
    <row r="223" spans="1:7">
      <c r="A223" t="s">
        <v>2722</v>
      </c>
      <c r="B223" t="s">
        <v>789</v>
      </c>
      <c r="C223" t="s">
        <v>2476</v>
      </c>
      <c r="D223" t="s">
        <v>2491</v>
      </c>
      <c r="E223">
        <v>10</v>
      </c>
      <c r="F223">
        <v>1</v>
      </c>
      <c r="G223" t="s">
        <v>278</v>
      </c>
    </row>
    <row r="224" spans="1:7">
      <c r="A224" t="s">
        <v>2723</v>
      </c>
      <c r="B224" t="s">
        <v>365</v>
      </c>
      <c r="C224" t="s">
        <v>2485</v>
      </c>
      <c r="D224" t="s">
        <v>2477</v>
      </c>
      <c r="E224">
        <v>2</v>
      </c>
      <c r="F224">
        <v>2</v>
      </c>
      <c r="G224" t="s">
        <v>1123</v>
      </c>
    </row>
    <row r="225" spans="1:7">
      <c r="A225" t="s">
        <v>2724</v>
      </c>
      <c r="B225" t="s">
        <v>228</v>
      </c>
      <c r="C225" t="s">
        <v>2485</v>
      </c>
      <c r="D225" t="s">
        <v>2504</v>
      </c>
      <c r="E225">
        <v>10</v>
      </c>
      <c r="F225">
        <v>3</v>
      </c>
      <c r="G225" t="s">
        <v>782</v>
      </c>
    </row>
    <row r="226" spans="1:7">
      <c r="A226" t="s">
        <v>2725</v>
      </c>
      <c r="B226" t="s">
        <v>2032</v>
      </c>
      <c r="C226" t="s">
        <v>2479</v>
      </c>
      <c r="D226" t="s">
        <v>2480</v>
      </c>
      <c r="E226">
        <v>6</v>
      </c>
      <c r="F226">
        <v>1</v>
      </c>
      <c r="G226" t="s">
        <v>221</v>
      </c>
    </row>
    <row r="227" spans="1:7">
      <c r="A227" t="s">
        <v>2726</v>
      </c>
      <c r="B227" t="s">
        <v>1193</v>
      </c>
      <c r="C227" t="s">
        <v>2476</v>
      </c>
      <c r="D227" t="s">
        <v>2480</v>
      </c>
      <c r="E227">
        <v>7</v>
      </c>
      <c r="F227">
        <v>3</v>
      </c>
      <c r="G227" t="s">
        <v>421</v>
      </c>
    </row>
    <row r="228" spans="1:7">
      <c r="A228" t="s">
        <v>2727</v>
      </c>
      <c r="B228" t="s">
        <v>2215</v>
      </c>
      <c r="C228" t="s">
        <v>2485</v>
      </c>
      <c r="D228" t="s">
        <v>2491</v>
      </c>
      <c r="E228">
        <v>4</v>
      </c>
      <c r="F228">
        <v>1</v>
      </c>
      <c r="G228" t="s">
        <v>1249</v>
      </c>
    </row>
    <row r="229" spans="1:7">
      <c r="A229" t="s">
        <v>2728</v>
      </c>
      <c r="B229" t="s">
        <v>1773</v>
      </c>
      <c r="C229" t="s">
        <v>2485</v>
      </c>
      <c r="D229" t="s">
        <v>2491</v>
      </c>
      <c r="E229">
        <v>4</v>
      </c>
      <c r="F229">
        <v>2</v>
      </c>
      <c r="G229" t="s">
        <v>1413</v>
      </c>
    </row>
    <row r="230" spans="1:7">
      <c r="A230" t="s">
        <v>2729</v>
      </c>
      <c r="B230" t="s">
        <v>2125</v>
      </c>
      <c r="C230" t="s">
        <v>2482</v>
      </c>
      <c r="D230" t="s">
        <v>2477</v>
      </c>
      <c r="E230">
        <v>3</v>
      </c>
      <c r="F230">
        <v>5</v>
      </c>
      <c r="G230" t="s">
        <v>2412</v>
      </c>
    </row>
    <row r="231" spans="1:7">
      <c r="A231" t="s">
        <v>2730</v>
      </c>
      <c r="B231" t="s">
        <v>1054</v>
      </c>
      <c r="C231" t="s">
        <v>2476</v>
      </c>
      <c r="D231" t="s">
        <v>2480</v>
      </c>
      <c r="E231">
        <v>8</v>
      </c>
      <c r="F231">
        <v>5</v>
      </c>
      <c r="G231" t="s">
        <v>2731</v>
      </c>
    </row>
    <row r="232" spans="1:7">
      <c r="A232" t="s">
        <v>2732</v>
      </c>
      <c r="B232" t="s">
        <v>2137</v>
      </c>
      <c r="C232" t="s">
        <v>2476</v>
      </c>
      <c r="D232" t="s">
        <v>2504</v>
      </c>
      <c r="E232">
        <v>10</v>
      </c>
      <c r="F232">
        <v>3</v>
      </c>
      <c r="G232" t="s">
        <v>586</v>
      </c>
    </row>
    <row r="233" spans="1:7">
      <c r="A233" t="s">
        <v>2733</v>
      </c>
      <c r="B233" t="s">
        <v>72</v>
      </c>
      <c r="C233" t="s">
        <v>2482</v>
      </c>
      <c r="D233" t="s">
        <v>2480</v>
      </c>
      <c r="E233">
        <v>3</v>
      </c>
      <c r="F233">
        <v>2</v>
      </c>
      <c r="G233" t="s">
        <v>1301</v>
      </c>
    </row>
    <row r="234" spans="1:7">
      <c r="A234" t="s">
        <v>2734</v>
      </c>
      <c r="B234" t="s">
        <v>715</v>
      </c>
      <c r="C234" t="s">
        <v>2482</v>
      </c>
      <c r="D234" t="s">
        <v>2504</v>
      </c>
      <c r="E234">
        <v>8</v>
      </c>
      <c r="F234">
        <v>5</v>
      </c>
      <c r="G234" t="s">
        <v>164</v>
      </c>
    </row>
    <row r="235" spans="1:7">
      <c r="A235" t="s">
        <v>2735</v>
      </c>
      <c r="B235" t="s">
        <v>1188</v>
      </c>
      <c r="C235" t="s">
        <v>2493</v>
      </c>
      <c r="D235" t="s">
        <v>2480</v>
      </c>
      <c r="E235">
        <v>5</v>
      </c>
      <c r="F235">
        <v>1</v>
      </c>
      <c r="G235" t="s">
        <v>1804</v>
      </c>
    </row>
    <row r="236" spans="1:7">
      <c r="A236" t="s">
        <v>2736</v>
      </c>
      <c r="B236" t="s">
        <v>1523</v>
      </c>
      <c r="C236" t="s">
        <v>2485</v>
      </c>
      <c r="D236" t="s">
        <v>2477</v>
      </c>
      <c r="E236">
        <v>3</v>
      </c>
      <c r="F236">
        <v>2</v>
      </c>
      <c r="G236" t="s">
        <v>1496</v>
      </c>
    </row>
    <row r="237" spans="1:7">
      <c r="A237" t="s">
        <v>2737</v>
      </c>
      <c r="B237" t="s">
        <v>567</v>
      </c>
      <c r="C237" t="s">
        <v>2482</v>
      </c>
      <c r="D237" t="s">
        <v>2477</v>
      </c>
      <c r="E237">
        <v>8</v>
      </c>
      <c r="F237">
        <v>3</v>
      </c>
      <c r="G237" t="s">
        <v>2109</v>
      </c>
    </row>
    <row r="238" spans="1:7">
      <c r="A238" t="s">
        <v>2738</v>
      </c>
      <c r="B238" t="s">
        <v>1601</v>
      </c>
      <c r="C238" t="s">
        <v>2493</v>
      </c>
      <c r="D238" t="s">
        <v>2477</v>
      </c>
      <c r="E238">
        <v>5</v>
      </c>
      <c r="F238">
        <v>5</v>
      </c>
      <c r="G238" t="s">
        <v>710</v>
      </c>
    </row>
    <row r="239" spans="1:7">
      <c r="A239" t="s">
        <v>2739</v>
      </c>
      <c r="B239" t="s">
        <v>98</v>
      </c>
      <c r="C239" t="s">
        <v>2485</v>
      </c>
      <c r="D239" t="s">
        <v>2480</v>
      </c>
      <c r="E239">
        <v>6</v>
      </c>
      <c r="F239">
        <v>5</v>
      </c>
      <c r="G239" t="s">
        <v>167</v>
      </c>
    </row>
    <row r="240" spans="1:7">
      <c r="A240" t="s">
        <v>2740</v>
      </c>
      <c r="B240" t="s">
        <v>1117</v>
      </c>
      <c r="C240" t="s">
        <v>2485</v>
      </c>
      <c r="D240" t="s">
        <v>2480</v>
      </c>
      <c r="E240">
        <v>3</v>
      </c>
      <c r="F240">
        <v>4</v>
      </c>
      <c r="G240" t="s">
        <v>1169</v>
      </c>
    </row>
    <row r="241" spans="1:7">
      <c r="A241" t="s">
        <v>2741</v>
      </c>
      <c r="B241" t="s">
        <v>865</v>
      </c>
      <c r="C241" t="s">
        <v>2479</v>
      </c>
      <c r="D241" t="s">
        <v>2480</v>
      </c>
      <c r="E241">
        <v>1</v>
      </c>
      <c r="F241">
        <v>4</v>
      </c>
      <c r="G241" t="s">
        <v>2731</v>
      </c>
    </row>
    <row r="242" spans="1:7">
      <c r="A242" t="s">
        <v>2742</v>
      </c>
      <c r="B242" t="s">
        <v>1794</v>
      </c>
      <c r="C242" t="s">
        <v>2482</v>
      </c>
      <c r="D242" t="s">
        <v>2477</v>
      </c>
      <c r="E242">
        <v>6</v>
      </c>
      <c r="F242">
        <v>2</v>
      </c>
      <c r="G242" t="s">
        <v>261</v>
      </c>
    </row>
    <row r="243" spans="1:7">
      <c r="A243" t="s">
        <v>2743</v>
      </c>
      <c r="B243" t="s">
        <v>28</v>
      </c>
      <c r="C243" t="s">
        <v>2479</v>
      </c>
      <c r="D243" t="s">
        <v>2480</v>
      </c>
      <c r="E243">
        <v>8</v>
      </c>
      <c r="F243">
        <v>2</v>
      </c>
      <c r="G243" t="s">
        <v>1882</v>
      </c>
    </row>
    <row r="244" spans="1:7">
      <c r="A244" t="s">
        <v>2744</v>
      </c>
      <c r="B244" t="s">
        <v>1750</v>
      </c>
      <c r="C244" t="s">
        <v>2493</v>
      </c>
      <c r="D244" t="s">
        <v>2480</v>
      </c>
      <c r="E244">
        <v>1</v>
      </c>
      <c r="F244">
        <v>5</v>
      </c>
      <c r="G244" t="s">
        <v>2518</v>
      </c>
    </row>
    <row r="245" spans="1:7">
      <c r="A245" t="s">
        <v>2745</v>
      </c>
      <c r="B245" t="s">
        <v>1960</v>
      </c>
      <c r="C245" t="s">
        <v>2485</v>
      </c>
      <c r="D245" t="s">
        <v>2477</v>
      </c>
      <c r="E245">
        <v>1</v>
      </c>
      <c r="F245">
        <v>1</v>
      </c>
      <c r="G245" t="s">
        <v>301</v>
      </c>
    </row>
    <row r="246" spans="1:7">
      <c r="A246" t="s">
        <v>2746</v>
      </c>
      <c r="B246" t="s">
        <v>2061</v>
      </c>
      <c r="C246" t="s">
        <v>2476</v>
      </c>
      <c r="D246" t="s">
        <v>2491</v>
      </c>
      <c r="E246">
        <v>3</v>
      </c>
      <c r="F246">
        <v>1</v>
      </c>
      <c r="G246" t="s">
        <v>1555</v>
      </c>
    </row>
    <row r="247" spans="1:7">
      <c r="A247" t="s">
        <v>2747</v>
      </c>
      <c r="B247" t="s">
        <v>280</v>
      </c>
      <c r="C247" t="s">
        <v>2493</v>
      </c>
      <c r="D247" t="s">
        <v>2480</v>
      </c>
      <c r="E247">
        <v>6</v>
      </c>
      <c r="F247">
        <v>4</v>
      </c>
      <c r="G247" t="s">
        <v>518</v>
      </c>
    </row>
    <row r="248" spans="1:7">
      <c r="A248" t="s">
        <v>2748</v>
      </c>
      <c r="B248" t="s">
        <v>404</v>
      </c>
      <c r="C248" t="s">
        <v>2485</v>
      </c>
      <c r="D248" t="s">
        <v>2491</v>
      </c>
      <c r="E248">
        <v>8</v>
      </c>
      <c r="F248">
        <v>2</v>
      </c>
      <c r="G248" t="s">
        <v>361</v>
      </c>
    </row>
    <row r="249" spans="1:7">
      <c r="A249" t="s">
        <v>2749</v>
      </c>
      <c r="B249" t="s">
        <v>2390</v>
      </c>
      <c r="C249" t="s">
        <v>2476</v>
      </c>
      <c r="D249" t="s">
        <v>2491</v>
      </c>
      <c r="E249">
        <v>8</v>
      </c>
      <c r="F249">
        <v>3</v>
      </c>
      <c r="G249" t="s">
        <v>577</v>
      </c>
    </row>
    <row r="250" spans="1:7">
      <c r="A250" t="s">
        <v>2750</v>
      </c>
      <c r="B250" t="s">
        <v>1096</v>
      </c>
      <c r="C250" t="s">
        <v>2482</v>
      </c>
      <c r="D250" t="s">
        <v>2480</v>
      </c>
      <c r="E250">
        <v>3</v>
      </c>
      <c r="F250">
        <v>2</v>
      </c>
      <c r="G250" t="s">
        <v>530</v>
      </c>
    </row>
    <row r="251" spans="1:7">
      <c r="A251" t="s">
        <v>2751</v>
      </c>
      <c r="B251" t="s">
        <v>1251</v>
      </c>
      <c r="C251" t="s">
        <v>2479</v>
      </c>
      <c r="D251" t="s">
        <v>2477</v>
      </c>
      <c r="E251">
        <v>5</v>
      </c>
      <c r="F251">
        <v>3</v>
      </c>
      <c r="G251" t="s">
        <v>2752</v>
      </c>
    </row>
    <row r="252" spans="1:7">
      <c r="A252" t="s">
        <v>2753</v>
      </c>
      <c r="B252" t="s">
        <v>618</v>
      </c>
      <c r="C252" t="s">
        <v>2482</v>
      </c>
      <c r="D252" t="s">
        <v>2477</v>
      </c>
      <c r="E252">
        <v>7</v>
      </c>
      <c r="F252">
        <v>2</v>
      </c>
      <c r="G252" t="s">
        <v>2004</v>
      </c>
    </row>
    <row r="253" spans="1:7">
      <c r="A253" t="s">
        <v>2754</v>
      </c>
      <c r="B253" t="s">
        <v>1058</v>
      </c>
      <c r="C253" t="s">
        <v>2493</v>
      </c>
      <c r="D253" t="s">
        <v>2480</v>
      </c>
      <c r="E253">
        <v>2</v>
      </c>
      <c r="F253">
        <v>5</v>
      </c>
      <c r="G253" t="s">
        <v>955</v>
      </c>
    </row>
    <row r="254" spans="1:7">
      <c r="A254" t="s">
        <v>2755</v>
      </c>
      <c r="B254" t="s">
        <v>479</v>
      </c>
      <c r="C254" t="s">
        <v>2479</v>
      </c>
      <c r="D254" t="s">
        <v>2491</v>
      </c>
      <c r="E254">
        <v>5</v>
      </c>
      <c r="F254">
        <v>3</v>
      </c>
      <c r="G254" t="s">
        <v>605</v>
      </c>
    </row>
    <row r="255" spans="1:7">
      <c r="A255" t="s">
        <v>2756</v>
      </c>
      <c r="B255" t="s">
        <v>57</v>
      </c>
      <c r="C255" t="s">
        <v>2479</v>
      </c>
      <c r="D255" t="s">
        <v>2504</v>
      </c>
      <c r="E255">
        <v>7</v>
      </c>
      <c r="F255">
        <v>2</v>
      </c>
      <c r="G255" t="s">
        <v>1477</v>
      </c>
    </row>
    <row r="256" spans="1:7">
      <c r="A256" t="s">
        <v>2757</v>
      </c>
      <c r="B256" t="s">
        <v>2442</v>
      </c>
      <c r="C256" t="s">
        <v>2493</v>
      </c>
      <c r="D256" t="s">
        <v>2491</v>
      </c>
      <c r="E256">
        <v>10</v>
      </c>
      <c r="F256">
        <v>3</v>
      </c>
      <c r="G256" t="s">
        <v>465</v>
      </c>
    </row>
    <row r="257" spans="1:7">
      <c r="A257" t="s">
        <v>2758</v>
      </c>
      <c r="B257" t="s">
        <v>1286</v>
      </c>
      <c r="C257" t="s">
        <v>2493</v>
      </c>
      <c r="D257" t="s">
        <v>2477</v>
      </c>
      <c r="E257">
        <v>1</v>
      </c>
      <c r="F257">
        <v>5</v>
      </c>
      <c r="G257" t="s">
        <v>1177</v>
      </c>
    </row>
    <row r="258" spans="1:7">
      <c r="A258" t="s">
        <v>2759</v>
      </c>
      <c r="B258" t="s">
        <v>1621</v>
      </c>
      <c r="C258" t="s">
        <v>2479</v>
      </c>
      <c r="D258" t="s">
        <v>2504</v>
      </c>
      <c r="E258">
        <v>7</v>
      </c>
      <c r="F258">
        <v>2</v>
      </c>
      <c r="G258" t="s">
        <v>2057</v>
      </c>
    </row>
    <row r="259" spans="1:7">
      <c r="A259" t="s">
        <v>2760</v>
      </c>
      <c r="B259" t="s">
        <v>1599</v>
      </c>
      <c r="C259" t="s">
        <v>2493</v>
      </c>
      <c r="D259" t="s">
        <v>2504</v>
      </c>
      <c r="E259">
        <v>6</v>
      </c>
      <c r="F259">
        <v>4</v>
      </c>
      <c r="G259" t="s">
        <v>905</v>
      </c>
    </row>
    <row r="260" spans="1:7">
      <c r="A260" t="s">
        <v>2761</v>
      </c>
      <c r="B260" t="s">
        <v>2456</v>
      </c>
      <c r="C260" t="s">
        <v>2476</v>
      </c>
      <c r="D260" t="s">
        <v>2480</v>
      </c>
      <c r="E260">
        <v>8</v>
      </c>
      <c r="F260">
        <v>4</v>
      </c>
      <c r="G260" t="s">
        <v>608</v>
      </c>
    </row>
    <row r="261" spans="1:7">
      <c r="A261" t="s">
        <v>2762</v>
      </c>
      <c r="B261" t="s">
        <v>1707</v>
      </c>
      <c r="C261" t="s">
        <v>2493</v>
      </c>
      <c r="D261" t="s">
        <v>2480</v>
      </c>
      <c r="E261">
        <v>7</v>
      </c>
      <c r="F261">
        <v>5</v>
      </c>
      <c r="G261" t="s">
        <v>472</v>
      </c>
    </row>
    <row r="262" spans="1:7">
      <c r="A262" t="s">
        <v>2763</v>
      </c>
      <c r="B262" t="s">
        <v>507</v>
      </c>
      <c r="C262" t="s">
        <v>2482</v>
      </c>
      <c r="D262" t="s">
        <v>2491</v>
      </c>
      <c r="E262">
        <v>7</v>
      </c>
      <c r="F262">
        <v>4</v>
      </c>
      <c r="G262" t="s">
        <v>1416</v>
      </c>
    </row>
    <row r="263" spans="1:7">
      <c r="A263" t="s">
        <v>2764</v>
      </c>
      <c r="B263" t="s">
        <v>257</v>
      </c>
      <c r="C263" t="s">
        <v>2479</v>
      </c>
      <c r="D263" t="s">
        <v>2477</v>
      </c>
      <c r="E263">
        <v>9</v>
      </c>
      <c r="F263">
        <v>3</v>
      </c>
      <c r="G263" t="s">
        <v>873</v>
      </c>
    </row>
    <row r="264" spans="1:7">
      <c r="A264" t="s">
        <v>2765</v>
      </c>
      <c r="B264" t="s">
        <v>512</v>
      </c>
      <c r="C264" t="s">
        <v>2479</v>
      </c>
      <c r="D264" t="s">
        <v>2477</v>
      </c>
      <c r="E264">
        <v>10</v>
      </c>
      <c r="F264">
        <v>5</v>
      </c>
      <c r="G264" t="s">
        <v>1617</v>
      </c>
    </row>
    <row r="265" spans="1:7">
      <c r="A265" t="s">
        <v>2766</v>
      </c>
      <c r="B265" t="s">
        <v>274</v>
      </c>
      <c r="C265" t="s">
        <v>2482</v>
      </c>
      <c r="D265" t="s">
        <v>2480</v>
      </c>
      <c r="E265">
        <v>5</v>
      </c>
      <c r="F265">
        <v>1</v>
      </c>
      <c r="G265" t="s">
        <v>43</v>
      </c>
    </row>
    <row r="266" spans="1:7">
      <c r="A266" t="s">
        <v>2767</v>
      </c>
      <c r="B266" t="s">
        <v>2348</v>
      </c>
      <c r="C266" t="s">
        <v>2479</v>
      </c>
      <c r="D266" t="s">
        <v>2477</v>
      </c>
      <c r="E266">
        <v>6</v>
      </c>
      <c r="F266">
        <v>3</v>
      </c>
      <c r="G266" t="s">
        <v>2768</v>
      </c>
    </row>
    <row r="267" spans="1:7">
      <c r="A267" t="s">
        <v>2769</v>
      </c>
      <c r="B267" t="s">
        <v>2195</v>
      </c>
      <c r="C267" t="s">
        <v>2485</v>
      </c>
      <c r="D267" t="s">
        <v>2491</v>
      </c>
      <c r="E267">
        <v>5</v>
      </c>
      <c r="F267">
        <v>2</v>
      </c>
      <c r="G267" t="s">
        <v>600</v>
      </c>
    </row>
    <row r="268" spans="1:7">
      <c r="A268" t="s">
        <v>2770</v>
      </c>
      <c r="B268" t="s">
        <v>2302</v>
      </c>
      <c r="C268" t="s">
        <v>2476</v>
      </c>
      <c r="D268" t="s">
        <v>2477</v>
      </c>
      <c r="E268">
        <v>1</v>
      </c>
      <c r="F268">
        <v>3</v>
      </c>
      <c r="G268" t="s">
        <v>1080</v>
      </c>
    </row>
    <row r="269" spans="1:7">
      <c r="A269" t="s">
        <v>2771</v>
      </c>
      <c r="B269" t="s">
        <v>1183</v>
      </c>
      <c r="C269" t="s">
        <v>2479</v>
      </c>
      <c r="D269" t="s">
        <v>2477</v>
      </c>
      <c r="E269">
        <v>10</v>
      </c>
      <c r="F269">
        <v>1</v>
      </c>
      <c r="G269" t="s">
        <v>16</v>
      </c>
    </row>
    <row r="270" spans="1:7">
      <c r="A270" t="s">
        <v>2772</v>
      </c>
      <c r="B270" t="s">
        <v>1808</v>
      </c>
      <c r="C270" t="s">
        <v>2482</v>
      </c>
      <c r="D270" t="s">
        <v>2480</v>
      </c>
      <c r="E270">
        <v>10</v>
      </c>
      <c r="F270">
        <v>2</v>
      </c>
      <c r="G270" t="s">
        <v>2773</v>
      </c>
    </row>
    <row r="271" spans="1:7">
      <c r="A271" t="s">
        <v>2774</v>
      </c>
      <c r="B271" t="s">
        <v>1238</v>
      </c>
      <c r="C271" t="s">
        <v>2479</v>
      </c>
      <c r="D271" t="s">
        <v>2477</v>
      </c>
      <c r="E271">
        <v>10</v>
      </c>
      <c r="F271">
        <v>1</v>
      </c>
      <c r="G271" t="s">
        <v>1641</v>
      </c>
    </row>
    <row r="272" spans="1:7">
      <c r="A272" t="s">
        <v>2775</v>
      </c>
      <c r="B272" t="s">
        <v>2141</v>
      </c>
      <c r="C272" t="s">
        <v>2493</v>
      </c>
      <c r="D272" t="s">
        <v>2480</v>
      </c>
      <c r="E272">
        <v>3</v>
      </c>
      <c r="F272">
        <v>3</v>
      </c>
      <c r="G272" t="s">
        <v>229</v>
      </c>
    </row>
    <row r="273" spans="1:7">
      <c r="A273" t="s">
        <v>2776</v>
      </c>
      <c r="B273" t="s">
        <v>1082</v>
      </c>
      <c r="C273" t="s">
        <v>2493</v>
      </c>
      <c r="D273" t="s">
        <v>2504</v>
      </c>
      <c r="E273">
        <v>9</v>
      </c>
      <c r="F273">
        <v>4</v>
      </c>
      <c r="G273" t="s">
        <v>1470</v>
      </c>
    </row>
    <row r="274" spans="1:7">
      <c r="A274" t="s">
        <v>2777</v>
      </c>
      <c r="B274" t="s">
        <v>924</v>
      </c>
      <c r="C274" t="s">
        <v>2485</v>
      </c>
      <c r="D274" t="s">
        <v>2491</v>
      </c>
      <c r="E274">
        <v>4</v>
      </c>
      <c r="F274">
        <v>1</v>
      </c>
      <c r="G274" t="s">
        <v>221</v>
      </c>
    </row>
    <row r="275" spans="1:7">
      <c r="A275" t="s">
        <v>2778</v>
      </c>
      <c r="B275" t="s">
        <v>932</v>
      </c>
      <c r="C275" t="s">
        <v>2493</v>
      </c>
      <c r="D275" t="s">
        <v>2477</v>
      </c>
      <c r="E275">
        <v>8</v>
      </c>
      <c r="F275">
        <v>1</v>
      </c>
      <c r="G275" t="s">
        <v>2334</v>
      </c>
    </row>
    <row r="276" spans="1:7">
      <c r="A276" t="s">
        <v>2779</v>
      </c>
      <c r="B276" t="s">
        <v>1619</v>
      </c>
      <c r="C276" t="s">
        <v>2485</v>
      </c>
      <c r="D276" t="s">
        <v>2504</v>
      </c>
      <c r="E276">
        <v>9</v>
      </c>
      <c r="F276">
        <v>5</v>
      </c>
      <c r="G276" t="s">
        <v>1088</v>
      </c>
    </row>
    <row r="277" spans="1:7">
      <c r="A277" t="s">
        <v>2780</v>
      </c>
      <c r="B277" t="s">
        <v>2132</v>
      </c>
      <c r="C277" t="s">
        <v>2479</v>
      </c>
      <c r="D277" t="s">
        <v>2504</v>
      </c>
      <c r="E277">
        <v>10</v>
      </c>
      <c r="F277">
        <v>2</v>
      </c>
      <c r="G277" t="s">
        <v>1896</v>
      </c>
    </row>
    <row r="278" spans="1:7">
      <c r="A278" t="s">
        <v>2781</v>
      </c>
      <c r="B278" t="s">
        <v>161</v>
      </c>
      <c r="C278" t="s">
        <v>2482</v>
      </c>
      <c r="D278" t="s">
        <v>2480</v>
      </c>
      <c r="E278">
        <v>5</v>
      </c>
      <c r="F278">
        <v>1</v>
      </c>
      <c r="G278" t="s">
        <v>2782</v>
      </c>
    </row>
    <row r="279" spans="1:7">
      <c r="A279" t="s">
        <v>2783</v>
      </c>
      <c r="B279" t="s">
        <v>315</v>
      </c>
      <c r="C279" t="s">
        <v>2479</v>
      </c>
      <c r="D279" t="s">
        <v>2491</v>
      </c>
      <c r="E279">
        <v>2</v>
      </c>
      <c r="F279">
        <v>2</v>
      </c>
      <c r="G279" t="s">
        <v>1131</v>
      </c>
    </row>
    <row r="280" spans="1:7">
      <c r="A280" t="s">
        <v>2784</v>
      </c>
      <c r="B280" t="s">
        <v>667</v>
      </c>
      <c r="C280" t="s">
        <v>2485</v>
      </c>
      <c r="D280" t="s">
        <v>2480</v>
      </c>
      <c r="E280">
        <v>7</v>
      </c>
      <c r="F280">
        <v>2</v>
      </c>
      <c r="G280" t="s">
        <v>2630</v>
      </c>
    </row>
    <row r="281" spans="1:7">
      <c r="A281" t="s">
        <v>2785</v>
      </c>
      <c r="B281" t="s">
        <v>1904</v>
      </c>
      <c r="C281" t="s">
        <v>2485</v>
      </c>
      <c r="D281" t="s">
        <v>2504</v>
      </c>
      <c r="E281">
        <v>10</v>
      </c>
      <c r="F281">
        <v>5</v>
      </c>
      <c r="G281" t="s">
        <v>2597</v>
      </c>
    </row>
    <row r="282" spans="1:7">
      <c r="A282" t="s">
        <v>2786</v>
      </c>
      <c r="B282" t="s">
        <v>137</v>
      </c>
      <c r="C282" t="s">
        <v>2476</v>
      </c>
      <c r="D282" t="s">
        <v>2504</v>
      </c>
      <c r="E282">
        <v>8</v>
      </c>
      <c r="F282">
        <v>5</v>
      </c>
      <c r="G282" t="s">
        <v>346</v>
      </c>
    </row>
    <row r="283" spans="1:7">
      <c r="A283" t="s">
        <v>2787</v>
      </c>
      <c r="B283" t="s">
        <v>793</v>
      </c>
      <c r="C283" t="s">
        <v>2485</v>
      </c>
      <c r="D283" t="s">
        <v>2504</v>
      </c>
      <c r="E283">
        <v>8</v>
      </c>
      <c r="F283">
        <v>1</v>
      </c>
      <c r="G283" t="s">
        <v>2317</v>
      </c>
    </row>
    <row r="284" spans="1:7">
      <c r="A284" t="s">
        <v>2788</v>
      </c>
      <c r="B284" t="s">
        <v>1675</v>
      </c>
      <c r="C284" t="s">
        <v>2493</v>
      </c>
      <c r="D284" t="s">
        <v>2504</v>
      </c>
      <c r="E284">
        <v>3</v>
      </c>
      <c r="F284">
        <v>2</v>
      </c>
      <c r="G284" t="s">
        <v>1460</v>
      </c>
    </row>
    <row r="285" spans="1:7">
      <c r="A285" t="s">
        <v>2789</v>
      </c>
      <c r="B285" t="s">
        <v>1570</v>
      </c>
      <c r="C285" t="s">
        <v>2493</v>
      </c>
      <c r="D285" t="s">
        <v>2491</v>
      </c>
      <c r="E285">
        <v>3</v>
      </c>
      <c r="F285">
        <v>3</v>
      </c>
      <c r="G285" t="s">
        <v>860</v>
      </c>
    </row>
    <row r="286" spans="1:7">
      <c r="A286" t="s">
        <v>2790</v>
      </c>
      <c r="B286" t="s">
        <v>2101</v>
      </c>
      <c r="C286" t="s">
        <v>2479</v>
      </c>
      <c r="D286" t="s">
        <v>2504</v>
      </c>
      <c r="E286">
        <v>9</v>
      </c>
      <c r="F286">
        <v>3</v>
      </c>
      <c r="G286" t="s">
        <v>1371</v>
      </c>
    </row>
    <row r="287" spans="1:7">
      <c r="A287" t="s">
        <v>2791</v>
      </c>
      <c r="B287" t="s">
        <v>2286</v>
      </c>
      <c r="C287" t="s">
        <v>2479</v>
      </c>
      <c r="D287" t="s">
        <v>2504</v>
      </c>
      <c r="E287">
        <v>1</v>
      </c>
      <c r="F287">
        <v>4</v>
      </c>
      <c r="G287" t="s">
        <v>392</v>
      </c>
    </row>
    <row r="288" spans="1:7">
      <c r="A288" t="s">
        <v>2792</v>
      </c>
      <c r="B288" t="s">
        <v>2156</v>
      </c>
      <c r="C288" t="s">
        <v>2493</v>
      </c>
      <c r="D288" t="s">
        <v>2477</v>
      </c>
      <c r="E288">
        <v>3</v>
      </c>
      <c r="F288">
        <v>3</v>
      </c>
      <c r="G288" t="s">
        <v>261</v>
      </c>
    </row>
    <row r="289" spans="1:7">
      <c r="A289" t="s">
        <v>2793</v>
      </c>
      <c r="B289" t="s">
        <v>949</v>
      </c>
      <c r="C289" t="s">
        <v>2493</v>
      </c>
      <c r="D289" t="s">
        <v>2477</v>
      </c>
      <c r="E289">
        <v>5</v>
      </c>
      <c r="F289">
        <v>1</v>
      </c>
      <c r="G289" t="s">
        <v>287</v>
      </c>
    </row>
    <row r="290" spans="1:7">
      <c r="A290" t="s">
        <v>2794</v>
      </c>
      <c r="B290" t="s">
        <v>158</v>
      </c>
      <c r="C290" t="s">
        <v>2485</v>
      </c>
      <c r="D290" t="s">
        <v>2504</v>
      </c>
      <c r="E290">
        <v>1</v>
      </c>
      <c r="F290">
        <v>1</v>
      </c>
      <c r="G290" t="s">
        <v>2795</v>
      </c>
    </row>
    <row r="291" spans="1:7">
      <c r="A291" t="s">
        <v>2796</v>
      </c>
      <c r="B291" t="s">
        <v>303</v>
      </c>
      <c r="C291" t="s">
        <v>2479</v>
      </c>
      <c r="D291" t="s">
        <v>2477</v>
      </c>
      <c r="E291">
        <v>4</v>
      </c>
      <c r="F291">
        <v>5</v>
      </c>
      <c r="G291" t="s">
        <v>746</v>
      </c>
    </row>
    <row r="292" spans="1:7">
      <c r="A292" t="s">
        <v>2797</v>
      </c>
      <c r="B292" t="s">
        <v>1321</v>
      </c>
      <c r="C292" t="s">
        <v>2476</v>
      </c>
      <c r="D292" t="s">
        <v>2491</v>
      </c>
      <c r="E292">
        <v>4</v>
      </c>
      <c r="F292">
        <v>3</v>
      </c>
      <c r="G292" t="s">
        <v>383</v>
      </c>
    </row>
    <row r="293" spans="1:7">
      <c r="A293" t="s">
        <v>2798</v>
      </c>
      <c r="B293" t="s">
        <v>1713</v>
      </c>
      <c r="C293" t="s">
        <v>2479</v>
      </c>
      <c r="D293" t="s">
        <v>2491</v>
      </c>
      <c r="E293">
        <v>4</v>
      </c>
      <c r="F293">
        <v>1</v>
      </c>
      <c r="G293" t="s">
        <v>405</v>
      </c>
    </row>
    <row r="294" spans="1:7">
      <c r="A294" t="s">
        <v>2799</v>
      </c>
      <c r="B294" t="s">
        <v>426</v>
      </c>
      <c r="C294" t="s">
        <v>2476</v>
      </c>
      <c r="D294" t="s">
        <v>2477</v>
      </c>
      <c r="E294">
        <v>3</v>
      </c>
      <c r="F294">
        <v>3</v>
      </c>
      <c r="G294" t="s">
        <v>1617</v>
      </c>
    </row>
    <row r="295" spans="1:7">
      <c r="A295" t="s">
        <v>2800</v>
      </c>
      <c r="B295" t="s">
        <v>1613</v>
      </c>
      <c r="C295" t="s">
        <v>2485</v>
      </c>
      <c r="D295" t="s">
        <v>2504</v>
      </c>
      <c r="E295">
        <v>8</v>
      </c>
      <c r="F295">
        <v>1</v>
      </c>
      <c r="G295" t="s">
        <v>1419</v>
      </c>
    </row>
    <row r="296" spans="1:7">
      <c r="A296" t="s">
        <v>2801</v>
      </c>
      <c r="B296" t="s">
        <v>694</v>
      </c>
      <c r="C296" t="s">
        <v>2479</v>
      </c>
      <c r="D296" t="s">
        <v>2480</v>
      </c>
      <c r="E296">
        <v>4</v>
      </c>
      <c r="F296">
        <v>1</v>
      </c>
      <c r="G296" t="s">
        <v>958</v>
      </c>
    </row>
    <row r="297" spans="1:7">
      <c r="A297" t="s">
        <v>2802</v>
      </c>
      <c r="B297" t="s">
        <v>1354</v>
      </c>
      <c r="C297" t="s">
        <v>2479</v>
      </c>
      <c r="D297" t="s">
        <v>2480</v>
      </c>
      <c r="E297">
        <v>8</v>
      </c>
      <c r="F297">
        <v>1</v>
      </c>
      <c r="G297" t="s">
        <v>773</v>
      </c>
    </row>
    <row r="298" spans="1:7">
      <c r="A298" t="s">
        <v>2803</v>
      </c>
      <c r="B298" t="s">
        <v>815</v>
      </c>
      <c r="C298" t="s">
        <v>2479</v>
      </c>
      <c r="D298" t="s">
        <v>2491</v>
      </c>
      <c r="E298">
        <v>6</v>
      </c>
      <c r="F298">
        <v>1</v>
      </c>
      <c r="G298" t="s">
        <v>1646</v>
      </c>
    </row>
    <row r="299" spans="1:7">
      <c r="A299" t="s">
        <v>2804</v>
      </c>
      <c r="B299" t="s">
        <v>69</v>
      </c>
      <c r="C299" t="s">
        <v>2479</v>
      </c>
      <c r="D299" t="s">
        <v>2480</v>
      </c>
      <c r="E299">
        <v>10</v>
      </c>
      <c r="F299">
        <v>5</v>
      </c>
      <c r="G299" t="s">
        <v>275</v>
      </c>
    </row>
    <row r="300" spans="1:7">
      <c r="A300" t="s">
        <v>2805</v>
      </c>
      <c r="B300" t="s">
        <v>1230</v>
      </c>
      <c r="C300" t="s">
        <v>2493</v>
      </c>
      <c r="D300" t="s">
        <v>2491</v>
      </c>
      <c r="E300">
        <v>5</v>
      </c>
      <c r="F300">
        <v>2</v>
      </c>
      <c r="G300" t="s">
        <v>380</v>
      </c>
    </row>
    <row r="301" spans="1:7">
      <c r="A301" t="s">
        <v>2806</v>
      </c>
      <c r="B301" t="s">
        <v>631</v>
      </c>
      <c r="C301" t="s">
        <v>2476</v>
      </c>
      <c r="D301" t="s">
        <v>2491</v>
      </c>
      <c r="E301">
        <v>2</v>
      </c>
      <c r="F301">
        <v>3</v>
      </c>
      <c r="G301" t="s">
        <v>439</v>
      </c>
    </row>
    <row r="302" spans="1:7">
      <c r="A302" t="s">
        <v>2807</v>
      </c>
      <c r="B302" t="s">
        <v>824</v>
      </c>
      <c r="C302" t="s">
        <v>2476</v>
      </c>
      <c r="D302" t="s">
        <v>2491</v>
      </c>
      <c r="E302">
        <v>3</v>
      </c>
      <c r="F302">
        <v>5</v>
      </c>
      <c r="G302" t="s">
        <v>2575</v>
      </c>
    </row>
    <row r="303" spans="1:7">
      <c r="A303" t="s">
        <v>2808</v>
      </c>
      <c r="B303" t="s">
        <v>1660</v>
      </c>
      <c r="C303" t="s">
        <v>2493</v>
      </c>
      <c r="D303" t="s">
        <v>2491</v>
      </c>
      <c r="E303">
        <v>5</v>
      </c>
      <c r="F303">
        <v>4</v>
      </c>
      <c r="G303" t="s">
        <v>1416</v>
      </c>
    </row>
    <row r="304" spans="1:7">
      <c r="A304" t="s">
        <v>2809</v>
      </c>
      <c r="B304" t="s">
        <v>1161</v>
      </c>
      <c r="C304" t="s">
        <v>2493</v>
      </c>
      <c r="D304" t="s">
        <v>2477</v>
      </c>
      <c r="E304">
        <v>6</v>
      </c>
      <c r="F304">
        <v>1</v>
      </c>
      <c r="G304" t="s">
        <v>1236</v>
      </c>
    </row>
    <row r="305" spans="1:7">
      <c r="A305" t="s">
        <v>2810</v>
      </c>
      <c r="B305" t="s">
        <v>2099</v>
      </c>
      <c r="C305" t="s">
        <v>2479</v>
      </c>
      <c r="D305" t="s">
        <v>2477</v>
      </c>
      <c r="E305">
        <v>6</v>
      </c>
      <c r="F305">
        <v>3</v>
      </c>
      <c r="G305" t="s">
        <v>1548</v>
      </c>
    </row>
    <row r="306" spans="1:7">
      <c r="A306" t="s">
        <v>2811</v>
      </c>
      <c r="B306" t="s">
        <v>919</v>
      </c>
      <c r="C306" t="s">
        <v>2479</v>
      </c>
      <c r="D306" t="s">
        <v>2477</v>
      </c>
      <c r="E306">
        <v>1</v>
      </c>
      <c r="F306">
        <v>5</v>
      </c>
      <c r="G306" t="s">
        <v>1020</v>
      </c>
    </row>
    <row r="307" spans="1:7">
      <c r="A307" t="s">
        <v>2812</v>
      </c>
      <c r="B307" t="s">
        <v>784</v>
      </c>
      <c r="C307" t="s">
        <v>2482</v>
      </c>
      <c r="D307" t="s">
        <v>2480</v>
      </c>
      <c r="E307">
        <v>9</v>
      </c>
      <c r="F307">
        <v>1</v>
      </c>
      <c r="G307" t="s">
        <v>559</v>
      </c>
    </row>
    <row r="308" spans="1:7">
      <c r="A308" t="s">
        <v>2813</v>
      </c>
      <c r="B308" t="s">
        <v>1668</v>
      </c>
      <c r="C308" t="s">
        <v>2479</v>
      </c>
      <c r="D308" t="s">
        <v>2477</v>
      </c>
      <c r="E308">
        <v>9</v>
      </c>
      <c r="F308">
        <v>1</v>
      </c>
      <c r="G308" t="s">
        <v>16</v>
      </c>
    </row>
    <row r="309" spans="1:7">
      <c r="A309" t="s">
        <v>2814</v>
      </c>
      <c r="B309" t="s">
        <v>1265</v>
      </c>
      <c r="C309" t="s">
        <v>2479</v>
      </c>
      <c r="D309" t="s">
        <v>2491</v>
      </c>
      <c r="E309">
        <v>1</v>
      </c>
      <c r="F309">
        <v>4</v>
      </c>
      <c r="G309" t="s">
        <v>787</v>
      </c>
    </row>
    <row r="310" spans="1:7">
      <c r="A310" t="s">
        <v>2815</v>
      </c>
      <c r="B310" t="s">
        <v>1193</v>
      </c>
      <c r="C310" t="s">
        <v>2485</v>
      </c>
      <c r="D310" t="s">
        <v>2504</v>
      </c>
      <c r="E310">
        <v>3</v>
      </c>
      <c r="F310">
        <v>4</v>
      </c>
      <c r="G310" t="s">
        <v>383</v>
      </c>
    </row>
    <row r="311" spans="1:7">
      <c r="A311" t="s">
        <v>2816</v>
      </c>
      <c r="B311" t="s">
        <v>754</v>
      </c>
      <c r="C311" t="s">
        <v>2485</v>
      </c>
      <c r="D311" t="s">
        <v>2491</v>
      </c>
      <c r="E311">
        <v>10</v>
      </c>
      <c r="F311">
        <v>4</v>
      </c>
      <c r="G311" t="s">
        <v>2817</v>
      </c>
    </row>
    <row r="312" spans="1:7">
      <c r="A312" t="s">
        <v>2818</v>
      </c>
      <c r="B312" t="s">
        <v>2433</v>
      </c>
      <c r="C312" t="s">
        <v>2482</v>
      </c>
      <c r="D312" t="s">
        <v>2504</v>
      </c>
      <c r="E312">
        <v>7</v>
      </c>
      <c r="F312">
        <v>4</v>
      </c>
      <c r="G312" t="s">
        <v>616</v>
      </c>
    </row>
    <row r="313" spans="1:7">
      <c r="A313" t="s">
        <v>2819</v>
      </c>
      <c r="B313" t="s">
        <v>585</v>
      </c>
      <c r="C313" t="s">
        <v>2482</v>
      </c>
      <c r="D313" t="s">
        <v>2504</v>
      </c>
      <c r="E313">
        <v>5</v>
      </c>
      <c r="F313">
        <v>2</v>
      </c>
      <c r="G313" t="s">
        <v>74</v>
      </c>
    </row>
    <row r="314" spans="1:7">
      <c r="A314" t="s">
        <v>2820</v>
      </c>
      <c r="B314" t="s">
        <v>1305</v>
      </c>
      <c r="C314" t="s">
        <v>2482</v>
      </c>
      <c r="D314" t="s">
        <v>2477</v>
      </c>
      <c r="E314">
        <v>7</v>
      </c>
      <c r="F314">
        <v>1</v>
      </c>
      <c r="G314" t="s">
        <v>261</v>
      </c>
    </row>
    <row r="315" spans="1:7">
      <c r="A315" t="s">
        <v>2821</v>
      </c>
      <c r="B315" t="s">
        <v>2388</v>
      </c>
      <c r="C315" t="s">
        <v>2482</v>
      </c>
      <c r="D315" t="s">
        <v>2491</v>
      </c>
      <c r="E315">
        <v>8</v>
      </c>
      <c r="F315">
        <v>2</v>
      </c>
      <c r="G315" t="s">
        <v>2367</v>
      </c>
    </row>
    <row r="316" spans="1:7">
      <c r="A316" t="s">
        <v>2822</v>
      </c>
      <c r="B316" t="s">
        <v>52</v>
      </c>
      <c r="C316" t="s">
        <v>2479</v>
      </c>
      <c r="D316" t="s">
        <v>2480</v>
      </c>
      <c r="E316">
        <v>5</v>
      </c>
      <c r="F316">
        <v>1</v>
      </c>
      <c r="G316" t="s">
        <v>1614</v>
      </c>
    </row>
    <row r="317" spans="1:7">
      <c r="A317" t="s">
        <v>2823</v>
      </c>
      <c r="B317" t="s">
        <v>852</v>
      </c>
      <c r="C317" t="s">
        <v>2493</v>
      </c>
      <c r="D317" t="s">
        <v>2477</v>
      </c>
      <c r="E317">
        <v>6</v>
      </c>
      <c r="F317">
        <v>4</v>
      </c>
      <c r="G317" t="s">
        <v>1011</v>
      </c>
    </row>
    <row r="318" spans="1:7">
      <c r="A318" t="s">
        <v>2824</v>
      </c>
      <c r="B318" t="s">
        <v>479</v>
      </c>
      <c r="C318" t="s">
        <v>2493</v>
      </c>
      <c r="D318" t="s">
        <v>2480</v>
      </c>
      <c r="E318">
        <v>8</v>
      </c>
      <c r="F318">
        <v>1</v>
      </c>
      <c r="G318" t="s">
        <v>352</v>
      </c>
    </row>
    <row r="319" spans="1:7">
      <c r="A319" t="s">
        <v>2825</v>
      </c>
      <c r="B319" t="s">
        <v>1980</v>
      </c>
      <c r="C319" t="s">
        <v>2476</v>
      </c>
      <c r="D319" t="s">
        <v>2477</v>
      </c>
      <c r="E319">
        <v>2</v>
      </c>
      <c r="F319">
        <v>1</v>
      </c>
      <c r="G319" t="s">
        <v>2826</v>
      </c>
    </row>
    <row r="320" spans="1:7">
      <c r="A320" t="s">
        <v>2827</v>
      </c>
      <c r="B320" t="s">
        <v>2113</v>
      </c>
      <c r="C320" t="s">
        <v>2479</v>
      </c>
      <c r="D320" t="s">
        <v>2491</v>
      </c>
      <c r="E320">
        <v>7</v>
      </c>
      <c r="F320">
        <v>1</v>
      </c>
      <c r="G320" t="s">
        <v>132</v>
      </c>
    </row>
    <row r="321" spans="1:7">
      <c r="A321" t="s">
        <v>2828</v>
      </c>
      <c r="B321" t="s">
        <v>1705</v>
      </c>
      <c r="C321" t="s">
        <v>2476</v>
      </c>
      <c r="D321" t="s">
        <v>2477</v>
      </c>
      <c r="E321">
        <v>10</v>
      </c>
      <c r="F321">
        <v>2</v>
      </c>
      <c r="G321" t="s">
        <v>559</v>
      </c>
    </row>
    <row r="322" spans="1:7">
      <c r="A322" t="s">
        <v>2829</v>
      </c>
      <c r="B322" t="s">
        <v>657</v>
      </c>
      <c r="C322" t="s">
        <v>2482</v>
      </c>
      <c r="D322" t="s">
        <v>2477</v>
      </c>
      <c r="E322">
        <v>9</v>
      </c>
      <c r="F322">
        <v>2</v>
      </c>
      <c r="G322" t="s">
        <v>710</v>
      </c>
    </row>
    <row r="323" spans="1:7">
      <c r="A323" t="s">
        <v>2830</v>
      </c>
      <c r="B323" t="s">
        <v>1853</v>
      </c>
      <c r="C323" t="s">
        <v>2482</v>
      </c>
      <c r="D323" t="s">
        <v>2480</v>
      </c>
      <c r="E323">
        <v>4</v>
      </c>
      <c r="F323">
        <v>3</v>
      </c>
      <c r="G323" t="s">
        <v>1961</v>
      </c>
    </row>
    <row r="324" spans="1:7">
      <c r="A324" t="s">
        <v>2831</v>
      </c>
      <c r="B324" t="s">
        <v>438</v>
      </c>
      <c r="C324" t="s">
        <v>2493</v>
      </c>
      <c r="D324" t="s">
        <v>2480</v>
      </c>
      <c r="E324">
        <v>10</v>
      </c>
      <c r="F324">
        <v>5</v>
      </c>
      <c r="G324" t="s">
        <v>1985</v>
      </c>
    </row>
    <row r="325" spans="1:7">
      <c r="A325" t="s">
        <v>2832</v>
      </c>
      <c r="B325" t="s">
        <v>1098</v>
      </c>
      <c r="C325" t="s">
        <v>2479</v>
      </c>
      <c r="D325" t="s">
        <v>2477</v>
      </c>
      <c r="E325">
        <v>10</v>
      </c>
      <c r="F325">
        <v>1</v>
      </c>
      <c r="G325" t="s">
        <v>1319</v>
      </c>
    </row>
    <row r="326" spans="1:7">
      <c r="A326" t="s">
        <v>2833</v>
      </c>
      <c r="B326" t="s">
        <v>789</v>
      </c>
      <c r="C326" t="s">
        <v>2482</v>
      </c>
      <c r="D326" t="s">
        <v>2477</v>
      </c>
      <c r="E326">
        <v>6</v>
      </c>
      <c r="F326">
        <v>2</v>
      </c>
      <c r="G326" t="s">
        <v>2612</v>
      </c>
    </row>
    <row r="327" spans="1:7">
      <c r="A327" t="s">
        <v>2834</v>
      </c>
      <c r="B327" t="s">
        <v>520</v>
      </c>
      <c r="C327" t="s">
        <v>2482</v>
      </c>
      <c r="D327" t="s">
        <v>2504</v>
      </c>
      <c r="E327">
        <v>2</v>
      </c>
      <c r="F327">
        <v>5</v>
      </c>
      <c r="G327" t="s">
        <v>59</v>
      </c>
    </row>
    <row r="328" spans="1:7">
      <c r="A328" t="s">
        <v>2835</v>
      </c>
      <c r="B328" t="s">
        <v>1691</v>
      </c>
      <c r="C328" t="s">
        <v>2493</v>
      </c>
      <c r="D328" t="s">
        <v>2480</v>
      </c>
      <c r="E328">
        <v>4</v>
      </c>
      <c r="F328">
        <v>3</v>
      </c>
      <c r="G328" t="s">
        <v>465</v>
      </c>
    </row>
    <row r="329" spans="1:7">
      <c r="A329" t="s">
        <v>2836</v>
      </c>
      <c r="B329" t="s">
        <v>542</v>
      </c>
      <c r="C329" t="s">
        <v>2476</v>
      </c>
      <c r="D329" t="s">
        <v>2504</v>
      </c>
      <c r="E329">
        <v>1</v>
      </c>
      <c r="F329">
        <v>3</v>
      </c>
      <c r="G329" t="s">
        <v>801</v>
      </c>
    </row>
    <row r="330" spans="1:7">
      <c r="A330" t="s">
        <v>2837</v>
      </c>
      <c r="B330" t="s">
        <v>1621</v>
      </c>
      <c r="C330" t="s">
        <v>2482</v>
      </c>
      <c r="D330" t="s">
        <v>2491</v>
      </c>
      <c r="E330">
        <v>3</v>
      </c>
      <c r="F330">
        <v>1</v>
      </c>
      <c r="G330" t="s">
        <v>2018</v>
      </c>
    </row>
    <row r="331" spans="1:7">
      <c r="A331" t="s">
        <v>2838</v>
      </c>
      <c r="B331" t="s">
        <v>1286</v>
      </c>
      <c r="C331" t="s">
        <v>2493</v>
      </c>
      <c r="D331" t="s">
        <v>2491</v>
      </c>
      <c r="E331">
        <v>7</v>
      </c>
      <c r="F331">
        <v>4</v>
      </c>
      <c r="G331" t="s">
        <v>2303</v>
      </c>
    </row>
    <row r="332" spans="1:7">
      <c r="A332" t="s">
        <v>2839</v>
      </c>
      <c r="B332" t="s">
        <v>607</v>
      </c>
      <c r="C332" t="s">
        <v>2476</v>
      </c>
      <c r="D332" t="s">
        <v>2477</v>
      </c>
      <c r="E332">
        <v>3</v>
      </c>
      <c r="F332">
        <v>3</v>
      </c>
      <c r="G332" t="s">
        <v>1126</v>
      </c>
    </row>
    <row r="333" spans="1:7">
      <c r="A333" t="s">
        <v>2840</v>
      </c>
      <c r="B333" t="s">
        <v>2284</v>
      </c>
      <c r="C333" t="s">
        <v>2485</v>
      </c>
      <c r="D333" t="s">
        <v>2477</v>
      </c>
      <c r="E333">
        <v>9</v>
      </c>
      <c r="F333">
        <v>1</v>
      </c>
      <c r="G333" t="s">
        <v>2841</v>
      </c>
    </row>
    <row r="334" spans="1:7">
      <c r="A334" t="s">
        <v>2842</v>
      </c>
      <c r="B334" t="s">
        <v>1657</v>
      </c>
      <c r="C334" t="s">
        <v>2476</v>
      </c>
      <c r="D334" t="s">
        <v>2480</v>
      </c>
      <c r="E334">
        <v>5</v>
      </c>
      <c r="F334">
        <v>4</v>
      </c>
      <c r="G334" t="s">
        <v>398</v>
      </c>
    </row>
    <row r="335" spans="1:7">
      <c r="A335" t="s">
        <v>2843</v>
      </c>
      <c r="B335" t="s">
        <v>487</v>
      </c>
      <c r="C335" t="s">
        <v>2493</v>
      </c>
      <c r="D335" t="s">
        <v>2504</v>
      </c>
      <c r="E335">
        <v>2</v>
      </c>
      <c r="F335">
        <v>3</v>
      </c>
      <c r="G335" t="s">
        <v>1147</v>
      </c>
    </row>
    <row r="336" spans="1:7">
      <c r="A336" t="s">
        <v>2844</v>
      </c>
      <c r="B336" t="s">
        <v>2054</v>
      </c>
      <c r="C336" t="s">
        <v>2485</v>
      </c>
      <c r="D336" t="s">
        <v>2477</v>
      </c>
      <c r="E336">
        <v>3</v>
      </c>
      <c r="F336">
        <v>5</v>
      </c>
      <c r="G336" t="s">
        <v>287</v>
      </c>
    </row>
    <row r="337" spans="1:7">
      <c r="A337" t="s">
        <v>2845</v>
      </c>
      <c r="B337" t="s">
        <v>1432</v>
      </c>
      <c r="C337" t="s">
        <v>2479</v>
      </c>
      <c r="D337" t="s">
        <v>2504</v>
      </c>
      <c r="E337">
        <v>2</v>
      </c>
      <c r="F337">
        <v>2</v>
      </c>
      <c r="G337" t="s">
        <v>796</v>
      </c>
    </row>
    <row r="338" spans="1:7">
      <c r="A338" t="s">
        <v>2846</v>
      </c>
      <c r="B338" t="s">
        <v>1308</v>
      </c>
      <c r="C338" t="s">
        <v>2476</v>
      </c>
      <c r="D338" t="s">
        <v>2491</v>
      </c>
      <c r="E338">
        <v>6</v>
      </c>
      <c r="F338">
        <v>2</v>
      </c>
      <c r="G338" t="s">
        <v>1033</v>
      </c>
    </row>
    <row r="339" spans="1:7">
      <c r="A339" t="s">
        <v>2847</v>
      </c>
      <c r="B339" t="s">
        <v>345</v>
      </c>
      <c r="C339" t="s">
        <v>2485</v>
      </c>
      <c r="D339" t="s">
        <v>2477</v>
      </c>
      <c r="E339">
        <v>10</v>
      </c>
      <c r="F339">
        <v>2</v>
      </c>
      <c r="G339" t="s">
        <v>997</v>
      </c>
    </row>
    <row r="340" spans="1:7">
      <c r="A340" t="s">
        <v>2848</v>
      </c>
      <c r="B340" t="s">
        <v>2246</v>
      </c>
      <c r="C340" t="s">
        <v>2476</v>
      </c>
      <c r="D340" t="s">
        <v>2491</v>
      </c>
      <c r="E340">
        <v>9</v>
      </c>
      <c r="F340">
        <v>1</v>
      </c>
      <c r="G340" t="s">
        <v>1516</v>
      </c>
    </row>
    <row r="341" spans="1:7">
      <c r="A341" t="s">
        <v>2849</v>
      </c>
      <c r="B341" t="s">
        <v>2001</v>
      </c>
      <c r="C341" t="s">
        <v>2479</v>
      </c>
      <c r="D341" t="s">
        <v>2477</v>
      </c>
      <c r="E341">
        <v>4</v>
      </c>
      <c r="F341">
        <v>5</v>
      </c>
      <c r="G341" t="s">
        <v>1141</v>
      </c>
    </row>
    <row r="342" spans="1:7">
      <c r="A342" t="s">
        <v>2850</v>
      </c>
      <c r="B342" t="s">
        <v>775</v>
      </c>
      <c r="C342" t="s">
        <v>2479</v>
      </c>
      <c r="D342" t="s">
        <v>2491</v>
      </c>
      <c r="E342">
        <v>7</v>
      </c>
      <c r="F342">
        <v>5</v>
      </c>
      <c r="G342" t="s">
        <v>724</v>
      </c>
    </row>
    <row r="343" spans="1:7">
      <c r="A343" t="s">
        <v>2851</v>
      </c>
      <c r="B343" t="s">
        <v>1691</v>
      </c>
      <c r="C343" t="s">
        <v>2476</v>
      </c>
      <c r="D343" t="s">
        <v>2504</v>
      </c>
      <c r="E343">
        <v>2</v>
      </c>
      <c r="F343">
        <v>3</v>
      </c>
      <c r="G343" t="s">
        <v>93</v>
      </c>
    </row>
    <row r="344" spans="1:7">
      <c r="A344" t="s">
        <v>2852</v>
      </c>
      <c r="B344" t="s">
        <v>2462</v>
      </c>
      <c r="C344" t="s">
        <v>2479</v>
      </c>
      <c r="D344" t="s">
        <v>2477</v>
      </c>
      <c r="E344">
        <v>4</v>
      </c>
      <c r="F344">
        <v>3</v>
      </c>
      <c r="G344" t="s">
        <v>828</v>
      </c>
    </row>
    <row r="345" spans="1:7">
      <c r="A345" t="s">
        <v>2853</v>
      </c>
      <c r="B345" t="s">
        <v>2108</v>
      </c>
      <c r="C345" t="s">
        <v>2476</v>
      </c>
      <c r="D345" t="s">
        <v>2477</v>
      </c>
      <c r="E345">
        <v>4</v>
      </c>
      <c r="F345">
        <v>2</v>
      </c>
      <c r="G345" t="s">
        <v>1368</v>
      </c>
    </row>
    <row r="346" spans="1:7">
      <c r="A346" t="s">
        <v>2854</v>
      </c>
      <c r="B346" t="s">
        <v>2279</v>
      </c>
      <c r="C346" t="s">
        <v>2493</v>
      </c>
      <c r="D346" t="s">
        <v>2491</v>
      </c>
      <c r="E346">
        <v>9</v>
      </c>
      <c r="F346">
        <v>5</v>
      </c>
      <c r="G346" t="s">
        <v>349</v>
      </c>
    </row>
    <row r="347" spans="1:7">
      <c r="A347" t="s">
        <v>2855</v>
      </c>
      <c r="B347" t="s">
        <v>2224</v>
      </c>
      <c r="C347" t="s">
        <v>2485</v>
      </c>
      <c r="D347" t="s">
        <v>2480</v>
      </c>
      <c r="E347">
        <v>10</v>
      </c>
      <c r="F347">
        <v>5</v>
      </c>
      <c r="G347" t="s">
        <v>992</v>
      </c>
    </row>
    <row r="348" spans="1:7">
      <c r="A348" t="s">
        <v>2856</v>
      </c>
      <c r="B348" t="s">
        <v>1864</v>
      </c>
      <c r="C348" t="s">
        <v>2485</v>
      </c>
      <c r="D348" t="s">
        <v>2480</v>
      </c>
      <c r="E348">
        <v>9</v>
      </c>
      <c r="F348">
        <v>5</v>
      </c>
      <c r="G348" t="s">
        <v>1602</v>
      </c>
    </row>
    <row r="349" spans="1:7">
      <c r="A349" t="s">
        <v>2857</v>
      </c>
      <c r="B349" t="s">
        <v>1527</v>
      </c>
      <c r="C349" t="s">
        <v>2485</v>
      </c>
      <c r="D349" t="s">
        <v>2480</v>
      </c>
      <c r="E349">
        <v>10</v>
      </c>
      <c r="F349">
        <v>1</v>
      </c>
      <c r="G349" t="s">
        <v>866</v>
      </c>
    </row>
    <row r="350" spans="1:7">
      <c r="A350" t="s">
        <v>2858</v>
      </c>
      <c r="B350" t="s">
        <v>1550</v>
      </c>
      <c r="C350" t="s">
        <v>2485</v>
      </c>
      <c r="D350" t="s">
        <v>2504</v>
      </c>
      <c r="E350">
        <v>10</v>
      </c>
      <c r="F350">
        <v>1</v>
      </c>
      <c r="G350" t="s">
        <v>2859</v>
      </c>
    </row>
    <row r="351" spans="1:7">
      <c r="A351" t="s">
        <v>2860</v>
      </c>
      <c r="B351" t="s">
        <v>1421</v>
      </c>
      <c r="C351" t="s">
        <v>2485</v>
      </c>
      <c r="D351" t="s">
        <v>2491</v>
      </c>
      <c r="E351">
        <v>7</v>
      </c>
      <c r="F351">
        <v>4</v>
      </c>
      <c r="G351" t="s">
        <v>1174</v>
      </c>
    </row>
    <row r="352" spans="1:7">
      <c r="A352" t="s">
        <v>2861</v>
      </c>
      <c r="B352" t="s">
        <v>1510</v>
      </c>
      <c r="C352" t="s">
        <v>2493</v>
      </c>
      <c r="D352" t="s">
        <v>2477</v>
      </c>
      <c r="E352">
        <v>4</v>
      </c>
      <c r="F352">
        <v>4</v>
      </c>
      <c r="G352" t="s">
        <v>1319</v>
      </c>
    </row>
    <row r="353" spans="1:7">
      <c r="A353" t="s">
        <v>2862</v>
      </c>
      <c r="B353" t="s">
        <v>2431</v>
      </c>
      <c r="C353" t="s">
        <v>2482</v>
      </c>
      <c r="D353" t="s">
        <v>2504</v>
      </c>
      <c r="E353">
        <v>2</v>
      </c>
      <c r="F353">
        <v>4</v>
      </c>
      <c r="G353" t="s">
        <v>2021</v>
      </c>
    </row>
    <row r="354" spans="1:7">
      <c r="A354" t="s">
        <v>2863</v>
      </c>
      <c r="B354" t="s">
        <v>842</v>
      </c>
      <c r="C354" t="s">
        <v>2493</v>
      </c>
      <c r="D354" t="s">
        <v>2477</v>
      </c>
      <c r="E354">
        <v>4</v>
      </c>
      <c r="F354">
        <v>4</v>
      </c>
      <c r="G354" t="s">
        <v>1422</v>
      </c>
    </row>
    <row r="355" spans="1:7">
      <c r="A355" t="s">
        <v>2864</v>
      </c>
      <c r="B355" t="s">
        <v>1248</v>
      </c>
      <c r="C355" t="s">
        <v>2485</v>
      </c>
      <c r="D355" t="s">
        <v>2491</v>
      </c>
      <c r="E355">
        <v>9</v>
      </c>
      <c r="F355">
        <v>1</v>
      </c>
      <c r="G355" t="s">
        <v>1256</v>
      </c>
    </row>
    <row r="356" spans="1:7">
      <c r="A356" t="s">
        <v>2865</v>
      </c>
      <c r="B356" t="s">
        <v>1518</v>
      </c>
      <c r="C356" t="s">
        <v>2479</v>
      </c>
      <c r="D356" t="s">
        <v>2477</v>
      </c>
      <c r="E356">
        <v>1</v>
      </c>
      <c r="F356">
        <v>3</v>
      </c>
      <c r="G356" t="s">
        <v>530</v>
      </c>
    </row>
    <row r="357" spans="1:7">
      <c r="A357" t="s">
        <v>2866</v>
      </c>
      <c r="B357" t="s">
        <v>1564</v>
      </c>
      <c r="C357" t="s">
        <v>2485</v>
      </c>
      <c r="D357" t="s">
        <v>2477</v>
      </c>
      <c r="E357">
        <v>7</v>
      </c>
      <c r="F357">
        <v>4</v>
      </c>
      <c r="G357" t="s">
        <v>2867</v>
      </c>
    </row>
    <row r="358" spans="1:7">
      <c r="A358" t="s">
        <v>2868</v>
      </c>
      <c r="B358" t="s">
        <v>2363</v>
      </c>
      <c r="C358" t="s">
        <v>2482</v>
      </c>
      <c r="D358" t="s">
        <v>2491</v>
      </c>
      <c r="E358">
        <v>7</v>
      </c>
      <c r="F358">
        <v>3</v>
      </c>
      <c r="G358" t="s">
        <v>346</v>
      </c>
    </row>
    <row r="359" spans="1:7">
      <c r="A359" t="s">
        <v>2869</v>
      </c>
      <c r="B359" t="s">
        <v>1265</v>
      </c>
      <c r="C359" t="s">
        <v>2493</v>
      </c>
      <c r="D359" t="s">
        <v>2480</v>
      </c>
      <c r="E359">
        <v>7</v>
      </c>
      <c r="F359">
        <v>1</v>
      </c>
      <c r="G359" t="s">
        <v>674</v>
      </c>
    </row>
    <row r="360" spans="1:7">
      <c r="A360" t="s">
        <v>2870</v>
      </c>
      <c r="B360" t="s">
        <v>2139</v>
      </c>
      <c r="C360" t="s">
        <v>2485</v>
      </c>
      <c r="D360" t="s">
        <v>2491</v>
      </c>
      <c r="E360">
        <v>8</v>
      </c>
      <c r="F360">
        <v>3</v>
      </c>
      <c r="G360" t="s">
        <v>238</v>
      </c>
    </row>
    <row r="361" spans="1:7">
      <c r="A361" t="s">
        <v>2871</v>
      </c>
      <c r="B361" t="s">
        <v>1931</v>
      </c>
      <c r="C361" t="s">
        <v>2476</v>
      </c>
      <c r="D361" t="s">
        <v>2491</v>
      </c>
      <c r="E361">
        <v>10</v>
      </c>
      <c r="F361">
        <v>4</v>
      </c>
      <c r="G361" t="s">
        <v>765</v>
      </c>
    </row>
    <row r="362" spans="1:7">
      <c r="A362" t="s">
        <v>2872</v>
      </c>
      <c r="B362" t="s">
        <v>929</v>
      </c>
      <c r="C362" t="s">
        <v>2479</v>
      </c>
      <c r="D362" t="s">
        <v>2480</v>
      </c>
      <c r="E362">
        <v>7</v>
      </c>
      <c r="F362">
        <v>5</v>
      </c>
      <c r="G362" t="s">
        <v>1548</v>
      </c>
    </row>
    <row r="363" spans="1:7">
      <c r="A363" t="s">
        <v>2873</v>
      </c>
      <c r="B363" t="s">
        <v>205</v>
      </c>
      <c r="C363" t="s">
        <v>2479</v>
      </c>
      <c r="D363" t="s">
        <v>2480</v>
      </c>
      <c r="E363">
        <v>5</v>
      </c>
      <c r="F363">
        <v>2</v>
      </c>
      <c r="G363" t="s">
        <v>873</v>
      </c>
    </row>
    <row r="364" spans="1:7">
      <c r="A364" t="s">
        <v>2874</v>
      </c>
      <c r="B364" t="s">
        <v>631</v>
      </c>
      <c r="C364" t="s">
        <v>2479</v>
      </c>
      <c r="D364" t="s">
        <v>2491</v>
      </c>
      <c r="E364">
        <v>2</v>
      </c>
      <c r="F364">
        <v>4</v>
      </c>
      <c r="G364" t="s">
        <v>1115</v>
      </c>
    </row>
    <row r="365" spans="1:7">
      <c r="A365" t="s">
        <v>2875</v>
      </c>
      <c r="B365" t="s">
        <v>651</v>
      </c>
      <c r="C365" t="s">
        <v>2482</v>
      </c>
      <c r="D365" t="s">
        <v>2491</v>
      </c>
      <c r="E365">
        <v>3</v>
      </c>
      <c r="F365">
        <v>2</v>
      </c>
      <c r="G365" t="s">
        <v>2200</v>
      </c>
    </row>
    <row r="366" spans="1:7">
      <c r="A366" t="s">
        <v>2876</v>
      </c>
      <c r="B366" t="s">
        <v>1013</v>
      </c>
      <c r="C366" t="s">
        <v>2482</v>
      </c>
      <c r="D366" t="s">
        <v>2480</v>
      </c>
      <c r="E366">
        <v>6</v>
      </c>
      <c r="F366">
        <v>5</v>
      </c>
      <c r="G366" t="s">
        <v>840</v>
      </c>
    </row>
    <row r="367" spans="1:7">
      <c r="A367" t="s">
        <v>2877</v>
      </c>
      <c r="B367" t="s">
        <v>1437</v>
      </c>
      <c r="C367" t="s">
        <v>2482</v>
      </c>
      <c r="D367" t="s">
        <v>2504</v>
      </c>
      <c r="E367">
        <v>9</v>
      </c>
      <c r="F367">
        <v>1</v>
      </c>
      <c r="G367" t="s">
        <v>430</v>
      </c>
    </row>
    <row r="368" spans="1:7">
      <c r="A368" t="s">
        <v>2878</v>
      </c>
      <c r="B368" t="s">
        <v>2382</v>
      </c>
      <c r="C368" t="s">
        <v>2479</v>
      </c>
      <c r="D368" t="s">
        <v>2491</v>
      </c>
      <c r="E368">
        <v>9</v>
      </c>
      <c r="F368">
        <v>5</v>
      </c>
      <c r="G368" t="s">
        <v>2231</v>
      </c>
    </row>
    <row r="369" spans="1:7">
      <c r="A369" t="s">
        <v>2879</v>
      </c>
      <c r="B369" t="s">
        <v>1799</v>
      </c>
      <c r="C369" t="s">
        <v>2476</v>
      </c>
      <c r="D369" t="s">
        <v>2477</v>
      </c>
      <c r="E369">
        <v>3</v>
      </c>
      <c r="F369">
        <v>3</v>
      </c>
      <c r="G369" t="s">
        <v>760</v>
      </c>
    </row>
    <row r="370" spans="1:7">
      <c r="A370" t="s">
        <v>2880</v>
      </c>
      <c r="B370" t="s">
        <v>1051</v>
      </c>
      <c r="C370" t="s">
        <v>2476</v>
      </c>
      <c r="D370" t="s">
        <v>2504</v>
      </c>
      <c r="E370">
        <v>6</v>
      </c>
      <c r="F370">
        <v>5</v>
      </c>
      <c r="G370" t="s">
        <v>389</v>
      </c>
    </row>
    <row r="371" spans="1:7">
      <c r="A371" t="s">
        <v>2881</v>
      </c>
      <c r="B371" t="s">
        <v>1457</v>
      </c>
      <c r="C371" t="s">
        <v>2482</v>
      </c>
      <c r="D371" t="s">
        <v>2480</v>
      </c>
      <c r="E371">
        <v>5</v>
      </c>
      <c r="F371">
        <v>4</v>
      </c>
      <c r="G371" t="s">
        <v>2238</v>
      </c>
    </row>
    <row r="372" spans="1:7">
      <c r="A372" t="s">
        <v>2882</v>
      </c>
      <c r="B372" t="s">
        <v>1015</v>
      </c>
      <c r="C372" t="s">
        <v>2493</v>
      </c>
      <c r="D372" t="s">
        <v>2491</v>
      </c>
      <c r="E372">
        <v>1</v>
      </c>
      <c r="F372">
        <v>2</v>
      </c>
      <c r="G372" t="s">
        <v>527</v>
      </c>
    </row>
    <row r="373" spans="1:7">
      <c r="A373" t="s">
        <v>2883</v>
      </c>
      <c r="B373" t="s">
        <v>2171</v>
      </c>
      <c r="C373" t="s">
        <v>2482</v>
      </c>
      <c r="D373" t="s">
        <v>2480</v>
      </c>
      <c r="E373">
        <v>2</v>
      </c>
      <c r="F373">
        <v>1</v>
      </c>
      <c r="G373" t="s">
        <v>1371</v>
      </c>
    </row>
    <row r="374" spans="1:7">
      <c r="A374" t="s">
        <v>2884</v>
      </c>
      <c r="B374" t="s">
        <v>1843</v>
      </c>
      <c r="C374" t="s">
        <v>2482</v>
      </c>
      <c r="D374" t="s">
        <v>2477</v>
      </c>
      <c r="E374">
        <v>4</v>
      </c>
      <c r="F374">
        <v>5</v>
      </c>
      <c r="G374" t="s">
        <v>355</v>
      </c>
    </row>
    <row r="375" spans="1:7">
      <c r="A375" t="s">
        <v>2885</v>
      </c>
      <c r="B375" t="s">
        <v>1601</v>
      </c>
      <c r="C375" t="s">
        <v>2482</v>
      </c>
      <c r="D375" t="s">
        <v>2491</v>
      </c>
      <c r="E375">
        <v>1</v>
      </c>
      <c r="F375">
        <v>5</v>
      </c>
      <c r="G375" t="s">
        <v>2886</v>
      </c>
    </row>
    <row r="376" spans="1:7">
      <c r="A376" t="s">
        <v>2887</v>
      </c>
      <c r="B376" t="s">
        <v>2341</v>
      </c>
      <c r="C376" t="s">
        <v>2482</v>
      </c>
      <c r="D376" t="s">
        <v>2480</v>
      </c>
      <c r="E376">
        <v>2</v>
      </c>
      <c r="F376">
        <v>2</v>
      </c>
      <c r="G376" t="s">
        <v>2888</v>
      </c>
    </row>
    <row r="377" spans="1:7">
      <c r="A377" t="s">
        <v>2889</v>
      </c>
      <c r="B377" t="s">
        <v>2423</v>
      </c>
      <c r="C377" t="s">
        <v>2485</v>
      </c>
      <c r="D377" t="s">
        <v>2504</v>
      </c>
      <c r="E377">
        <v>8</v>
      </c>
      <c r="F377">
        <v>3</v>
      </c>
      <c r="G377" t="s">
        <v>2890</v>
      </c>
    </row>
    <row r="378" spans="1:7">
      <c r="A378" t="s">
        <v>2891</v>
      </c>
      <c r="B378" t="s">
        <v>767</v>
      </c>
      <c r="C378" t="s">
        <v>2493</v>
      </c>
      <c r="D378" t="s">
        <v>2491</v>
      </c>
      <c r="E378">
        <v>6</v>
      </c>
      <c r="F378">
        <v>5</v>
      </c>
      <c r="G378" t="s">
        <v>2892</v>
      </c>
    </row>
    <row r="379" spans="1:7">
      <c r="A379" t="s">
        <v>2893</v>
      </c>
      <c r="B379" t="s">
        <v>34</v>
      </c>
      <c r="C379" t="s">
        <v>2485</v>
      </c>
      <c r="D379" t="s">
        <v>2480</v>
      </c>
      <c r="E379">
        <v>7</v>
      </c>
      <c r="F379">
        <v>3</v>
      </c>
      <c r="G379" t="s">
        <v>1189</v>
      </c>
    </row>
    <row r="380" spans="1:7">
      <c r="A380" t="s">
        <v>2894</v>
      </c>
      <c r="B380" t="s">
        <v>1415</v>
      </c>
      <c r="C380" t="s">
        <v>2485</v>
      </c>
      <c r="D380" t="s">
        <v>2477</v>
      </c>
      <c r="E380">
        <v>4</v>
      </c>
      <c r="F380">
        <v>3</v>
      </c>
      <c r="G380" t="s">
        <v>1731</v>
      </c>
    </row>
    <row r="381" spans="1:7">
      <c r="A381" t="s">
        <v>2895</v>
      </c>
      <c r="B381" t="s">
        <v>1972</v>
      </c>
      <c r="C381" t="s">
        <v>2493</v>
      </c>
      <c r="D381" t="s">
        <v>2504</v>
      </c>
      <c r="E381">
        <v>8</v>
      </c>
      <c r="F381">
        <v>3</v>
      </c>
      <c r="G381" t="s">
        <v>383</v>
      </c>
    </row>
    <row r="382" spans="1:7">
      <c r="A382" t="s">
        <v>2896</v>
      </c>
      <c r="B382" t="s">
        <v>426</v>
      </c>
      <c r="C382" t="s">
        <v>2485</v>
      </c>
      <c r="D382" t="s">
        <v>2477</v>
      </c>
      <c r="E382">
        <v>4</v>
      </c>
      <c r="F382">
        <v>1</v>
      </c>
      <c r="G382" t="s">
        <v>398</v>
      </c>
    </row>
    <row r="383" spans="1:7">
      <c r="A383" t="s">
        <v>2897</v>
      </c>
      <c r="B383" t="s">
        <v>1801</v>
      </c>
      <c r="C383" t="s">
        <v>2482</v>
      </c>
      <c r="D383" t="s">
        <v>2480</v>
      </c>
      <c r="E383">
        <v>1</v>
      </c>
      <c r="F383">
        <v>4</v>
      </c>
      <c r="G383" t="s">
        <v>2898</v>
      </c>
    </row>
    <row r="384" spans="1:7">
      <c r="A384" t="s">
        <v>2899</v>
      </c>
      <c r="B384" t="s">
        <v>913</v>
      </c>
      <c r="C384" t="s">
        <v>2476</v>
      </c>
      <c r="D384" t="s">
        <v>2477</v>
      </c>
      <c r="E384">
        <v>7</v>
      </c>
      <c r="F384">
        <v>4</v>
      </c>
      <c r="G384" t="s">
        <v>138</v>
      </c>
    </row>
    <row r="385" spans="1:7">
      <c r="A385" t="s">
        <v>2900</v>
      </c>
      <c r="B385" t="s">
        <v>83</v>
      </c>
      <c r="C385" t="s">
        <v>2493</v>
      </c>
      <c r="D385" t="s">
        <v>2504</v>
      </c>
      <c r="E385">
        <v>5</v>
      </c>
      <c r="F385">
        <v>3</v>
      </c>
      <c r="G385" t="s">
        <v>70</v>
      </c>
    </row>
    <row r="386" spans="1:7">
      <c r="A386" t="s">
        <v>2901</v>
      </c>
      <c r="B386" t="s">
        <v>471</v>
      </c>
      <c r="C386" t="s">
        <v>2476</v>
      </c>
      <c r="D386" t="s">
        <v>2504</v>
      </c>
      <c r="E386">
        <v>3</v>
      </c>
      <c r="F386">
        <v>2</v>
      </c>
      <c r="G386" t="s">
        <v>414</v>
      </c>
    </row>
    <row r="387" spans="1:7">
      <c r="A387" t="s">
        <v>2902</v>
      </c>
      <c r="B387" t="s">
        <v>2321</v>
      </c>
      <c r="C387" t="s">
        <v>2482</v>
      </c>
      <c r="D387" t="s">
        <v>2504</v>
      </c>
      <c r="E387">
        <v>2</v>
      </c>
      <c r="F387">
        <v>3</v>
      </c>
      <c r="G387" t="s">
        <v>625</v>
      </c>
    </row>
    <row r="388" spans="1:7">
      <c r="A388" t="s">
        <v>2903</v>
      </c>
      <c r="B388" t="s">
        <v>1949</v>
      </c>
      <c r="C388" t="s">
        <v>2485</v>
      </c>
      <c r="D388" t="s">
        <v>2477</v>
      </c>
      <c r="E388">
        <v>8</v>
      </c>
      <c r="F388">
        <v>1</v>
      </c>
      <c r="G388" t="s">
        <v>229</v>
      </c>
    </row>
    <row r="389" spans="1:7">
      <c r="A389" t="s">
        <v>2904</v>
      </c>
      <c r="B389" t="s">
        <v>351</v>
      </c>
      <c r="C389" t="s">
        <v>2493</v>
      </c>
      <c r="D389" t="s">
        <v>2480</v>
      </c>
      <c r="E389">
        <v>9</v>
      </c>
      <c r="F389">
        <v>5</v>
      </c>
      <c r="G389" t="s">
        <v>1538</v>
      </c>
    </row>
    <row r="390" spans="1:7">
      <c r="A390" t="s">
        <v>2905</v>
      </c>
      <c r="B390" t="s">
        <v>870</v>
      </c>
      <c r="C390" t="s">
        <v>2476</v>
      </c>
      <c r="D390" t="s">
        <v>2504</v>
      </c>
      <c r="E390">
        <v>5</v>
      </c>
      <c r="F390">
        <v>4</v>
      </c>
      <c r="G390" t="s">
        <v>445</v>
      </c>
    </row>
    <row r="391" spans="1:7">
      <c r="A391" t="s">
        <v>2906</v>
      </c>
      <c r="B391" t="s">
        <v>1847</v>
      </c>
      <c r="C391" t="s">
        <v>2485</v>
      </c>
      <c r="D391" t="s">
        <v>2477</v>
      </c>
      <c r="E391">
        <v>6</v>
      </c>
      <c r="F391">
        <v>3</v>
      </c>
      <c r="G391" t="s">
        <v>1301</v>
      </c>
    </row>
    <row r="392" spans="1:7">
      <c r="A392" t="s">
        <v>2907</v>
      </c>
      <c r="B392" t="s">
        <v>143</v>
      </c>
      <c r="C392" t="s">
        <v>2485</v>
      </c>
      <c r="D392" t="s">
        <v>2491</v>
      </c>
      <c r="E392">
        <v>4</v>
      </c>
      <c r="F392">
        <v>4</v>
      </c>
      <c r="G392" t="s">
        <v>2109</v>
      </c>
    </row>
    <row r="393" spans="1:7">
      <c r="A393" t="s">
        <v>2908</v>
      </c>
      <c r="B393" t="s">
        <v>1855</v>
      </c>
      <c r="C393" t="s">
        <v>2482</v>
      </c>
      <c r="D393" t="s">
        <v>2480</v>
      </c>
      <c r="E393">
        <v>8</v>
      </c>
      <c r="F393">
        <v>4</v>
      </c>
      <c r="G393" t="s">
        <v>1011</v>
      </c>
    </row>
    <row r="394" spans="1:7">
      <c r="A394" t="s">
        <v>2909</v>
      </c>
      <c r="B394" t="s">
        <v>2456</v>
      </c>
      <c r="C394" t="s">
        <v>2476</v>
      </c>
      <c r="D394" t="s">
        <v>2491</v>
      </c>
      <c r="E394">
        <v>1</v>
      </c>
      <c r="F394">
        <v>3</v>
      </c>
      <c r="G394" t="s">
        <v>1571</v>
      </c>
    </row>
    <row r="395" spans="1:7">
      <c r="A395" t="s">
        <v>2910</v>
      </c>
      <c r="B395" t="s">
        <v>1248</v>
      </c>
      <c r="C395" t="s">
        <v>2479</v>
      </c>
      <c r="D395" t="s">
        <v>2480</v>
      </c>
      <c r="E395">
        <v>8</v>
      </c>
      <c r="F395">
        <v>3</v>
      </c>
      <c r="G395" t="s">
        <v>724</v>
      </c>
    </row>
    <row r="396" spans="1:7">
      <c r="A396" t="s">
        <v>2911</v>
      </c>
      <c r="B396" t="s">
        <v>1668</v>
      </c>
      <c r="C396" t="s">
        <v>2476</v>
      </c>
      <c r="D396" t="s">
        <v>2504</v>
      </c>
      <c r="E396">
        <v>8</v>
      </c>
      <c r="F396">
        <v>5</v>
      </c>
      <c r="G396" t="s">
        <v>1562</v>
      </c>
    </row>
    <row r="397" spans="1:7">
      <c r="A397" t="s">
        <v>2912</v>
      </c>
      <c r="B397" t="s">
        <v>1594</v>
      </c>
      <c r="C397" t="s">
        <v>2485</v>
      </c>
      <c r="D397" t="s">
        <v>2477</v>
      </c>
      <c r="E397">
        <v>6</v>
      </c>
      <c r="F397">
        <v>5</v>
      </c>
      <c r="G397" t="s">
        <v>386</v>
      </c>
    </row>
    <row r="398" spans="1:7">
      <c r="A398" t="s">
        <v>2913</v>
      </c>
      <c r="B398" t="s">
        <v>98</v>
      </c>
      <c r="C398" t="s">
        <v>2479</v>
      </c>
      <c r="D398" t="s">
        <v>2491</v>
      </c>
      <c r="E398">
        <v>3</v>
      </c>
      <c r="F398">
        <v>1</v>
      </c>
      <c r="G398" t="s">
        <v>1455</v>
      </c>
    </row>
    <row r="399" spans="1:7">
      <c r="A399" t="s">
        <v>2914</v>
      </c>
      <c r="B399" t="s">
        <v>1545</v>
      </c>
      <c r="C399" t="s">
        <v>2482</v>
      </c>
      <c r="D399" t="s">
        <v>2504</v>
      </c>
      <c r="E399">
        <v>5</v>
      </c>
      <c r="F399">
        <v>4</v>
      </c>
      <c r="G399" t="s">
        <v>1829</v>
      </c>
    </row>
    <row r="400" spans="1:7">
      <c r="A400" t="s">
        <v>2915</v>
      </c>
      <c r="B400" t="s">
        <v>1415</v>
      </c>
      <c r="C400" t="s">
        <v>2482</v>
      </c>
      <c r="D400" t="s">
        <v>2480</v>
      </c>
      <c r="E400">
        <v>3</v>
      </c>
      <c r="F400">
        <v>1</v>
      </c>
      <c r="G400" t="s">
        <v>2916</v>
      </c>
    </row>
    <row r="401" spans="1:7">
      <c r="A401" t="s">
        <v>2917</v>
      </c>
      <c r="B401" t="s">
        <v>1198</v>
      </c>
      <c r="C401" t="s">
        <v>2479</v>
      </c>
      <c r="D401" t="s">
        <v>2480</v>
      </c>
      <c r="E401">
        <v>2</v>
      </c>
      <c r="F401">
        <v>2</v>
      </c>
      <c r="G401" t="s">
        <v>860</v>
      </c>
    </row>
    <row r="402" spans="1:7">
      <c r="A402" t="s">
        <v>2918</v>
      </c>
      <c r="B402" t="s">
        <v>2137</v>
      </c>
      <c r="C402" t="s">
        <v>2485</v>
      </c>
      <c r="D402" t="s">
        <v>2491</v>
      </c>
      <c r="E402">
        <v>3</v>
      </c>
      <c r="F402">
        <v>5</v>
      </c>
      <c r="G402" t="s">
        <v>99</v>
      </c>
    </row>
    <row r="403" spans="1:7">
      <c r="A403" t="s">
        <v>2919</v>
      </c>
      <c r="B403" t="s">
        <v>2237</v>
      </c>
      <c r="C403" t="s">
        <v>2485</v>
      </c>
      <c r="D403" t="s">
        <v>2504</v>
      </c>
      <c r="E403">
        <v>4</v>
      </c>
      <c r="F403">
        <v>2</v>
      </c>
      <c r="G403" t="s">
        <v>173</v>
      </c>
    </row>
    <row r="404" spans="1:7">
      <c r="A404" t="s">
        <v>2920</v>
      </c>
      <c r="B404" t="s">
        <v>98</v>
      </c>
      <c r="C404" t="s">
        <v>2493</v>
      </c>
      <c r="D404" t="s">
        <v>2491</v>
      </c>
      <c r="E404">
        <v>3</v>
      </c>
      <c r="F404">
        <v>3</v>
      </c>
      <c r="G404" t="s">
        <v>1571</v>
      </c>
    </row>
    <row r="405" spans="1:7">
      <c r="A405" t="s">
        <v>2921</v>
      </c>
      <c r="B405" t="s">
        <v>116</v>
      </c>
      <c r="C405" t="s">
        <v>2485</v>
      </c>
      <c r="D405" t="s">
        <v>2491</v>
      </c>
      <c r="E405">
        <v>4</v>
      </c>
      <c r="F405">
        <v>4</v>
      </c>
      <c r="G405" t="s">
        <v>135</v>
      </c>
    </row>
    <row r="406" spans="1:7">
      <c r="A406" t="s">
        <v>2922</v>
      </c>
      <c r="B406" t="s">
        <v>881</v>
      </c>
      <c r="C406" t="s">
        <v>2476</v>
      </c>
      <c r="D406" t="s">
        <v>2504</v>
      </c>
      <c r="E406">
        <v>5</v>
      </c>
      <c r="F406">
        <v>4</v>
      </c>
      <c r="G406" t="s">
        <v>2782</v>
      </c>
    </row>
    <row r="407" spans="1:7">
      <c r="A407" t="s">
        <v>2923</v>
      </c>
      <c r="B407" t="s">
        <v>1722</v>
      </c>
      <c r="C407" t="s">
        <v>2479</v>
      </c>
      <c r="D407" t="s">
        <v>2504</v>
      </c>
      <c r="E407">
        <v>2</v>
      </c>
      <c r="F407">
        <v>5</v>
      </c>
      <c r="G407" t="s">
        <v>1131</v>
      </c>
    </row>
    <row r="408" spans="1:7">
      <c r="A408" t="s">
        <v>2924</v>
      </c>
      <c r="B408" t="s">
        <v>1399</v>
      </c>
      <c r="C408" t="s">
        <v>2476</v>
      </c>
      <c r="D408" t="s">
        <v>2477</v>
      </c>
      <c r="E408">
        <v>8</v>
      </c>
      <c r="F408">
        <v>4</v>
      </c>
      <c r="G408" t="s">
        <v>331</v>
      </c>
    </row>
    <row r="409" spans="1:7">
      <c r="A409" t="s">
        <v>2925</v>
      </c>
      <c r="B409" t="s">
        <v>1191</v>
      </c>
      <c r="C409" t="s">
        <v>2485</v>
      </c>
      <c r="D409" t="s">
        <v>2504</v>
      </c>
      <c r="E409">
        <v>3</v>
      </c>
      <c r="F409">
        <v>4</v>
      </c>
      <c r="G409" t="s">
        <v>1614</v>
      </c>
    </row>
    <row r="410" spans="1:7">
      <c r="A410" t="s">
        <v>2926</v>
      </c>
      <c r="B410" t="s">
        <v>1445</v>
      </c>
      <c r="C410" t="s">
        <v>2476</v>
      </c>
      <c r="D410" t="s">
        <v>2491</v>
      </c>
      <c r="E410">
        <v>10</v>
      </c>
      <c r="F410">
        <v>1</v>
      </c>
      <c r="G410" t="s">
        <v>1427</v>
      </c>
    </row>
    <row r="411" spans="1:7">
      <c r="A411" t="s">
        <v>2927</v>
      </c>
      <c r="B411" t="s">
        <v>898</v>
      </c>
      <c r="C411" t="s">
        <v>2485</v>
      </c>
      <c r="D411" t="s">
        <v>2504</v>
      </c>
      <c r="E411">
        <v>2</v>
      </c>
      <c r="F411">
        <v>3</v>
      </c>
      <c r="G411" t="s">
        <v>1216</v>
      </c>
    </row>
    <row r="412" spans="1:7">
      <c r="A412" t="s">
        <v>2928</v>
      </c>
      <c r="B412" t="s">
        <v>820</v>
      </c>
      <c r="C412" t="s">
        <v>2485</v>
      </c>
      <c r="D412" t="s">
        <v>2504</v>
      </c>
      <c r="E412">
        <v>9</v>
      </c>
      <c r="F412">
        <v>5</v>
      </c>
      <c r="G412" t="s">
        <v>2929</v>
      </c>
    </row>
    <row r="413" spans="1:7">
      <c r="A413" t="s">
        <v>2930</v>
      </c>
      <c r="B413" t="s">
        <v>1208</v>
      </c>
      <c r="C413" t="s">
        <v>2493</v>
      </c>
      <c r="D413" t="s">
        <v>2477</v>
      </c>
      <c r="E413">
        <v>10</v>
      </c>
      <c r="F413">
        <v>5</v>
      </c>
      <c r="G413" t="s">
        <v>414</v>
      </c>
    </row>
    <row r="414" spans="1:7">
      <c r="A414" t="s">
        <v>2931</v>
      </c>
      <c r="B414" t="s">
        <v>2369</v>
      </c>
      <c r="C414" t="s">
        <v>2476</v>
      </c>
      <c r="D414" t="s">
        <v>2477</v>
      </c>
      <c r="E414">
        <v>9</v>
      </c>
      <c r="F414">
        <v>5</v>
      </c>
      <c r="G414" t="s">
        <v>331</v>
      </c>
    </row>
    <row r="415" spans="1:7">
      <c r="A415" t="s">
        <v>2932</v>
      </c>
      <c r="B415" t="s">
        <v>2419</v>
      </c>
      <c r="C415" t="s">
        <v>2479</v>
      </c>
      <c r="D415" t="s">
        <v>2477</v>
      </c>
      <c r="E415">
        <v>4</v>
      </c>
      <c r="F415">
        <v>5</v>
      </c>
      <c r="G415" t="s">
        <v>1147</v>
      </c>
    </row>
    <row r="416" spans="1:7">
      <c r="A416" t="s">
        <v>2933</v>
      </c>
      <c r="B416" t="s">
        <v>824</v>
      </c>
      <c r="C416" t="s">
        <v>2476</v>
      </c>
      <c r="D416" t="s">
        <v>2504</v>
      </c>
      <c r="E416">
        <v>6</v>
      </c>
      <c r="F416">
        <v>4</v>
      </c>
      <c r="G416" t="s">
        <v>386</v>
      </c>
    </row>
    <row r="417" spans="1:7">
      <c r="A417" t="s">
        <v>2934</v>
      </c>
      <c r="B417" t="s">
        <v>234</v>
      </c>
      <c r="C417" t="s">
        <v>2479</v>
      </c>
      <c r="D417" t="s">
        <v>2491</v>
      </c>
      <c r="E417">
        <v>10</v>
      </c>
      <c r="F417">
        <v>2</v>
      </c>
      <c r="G417" t="s">
        <v>392</v>
      </c>
    </row>
    <row r="418" spans="1:7">
      <c r="A418" t="s">
        <v>2935</v>
      </c>
      <c r="B418" t="s">
        <v>336</v>
      </c>
      <c r="C418" t="s">
        <v>2485</v>
      </c>
      <c r="D418" t="s">
        <v>2491</v>
      </c>
      <c r="E418">
        <v>8</v>
      </c>
      <c r="F418">
        <v>4</v>
      </c>
      <c r="G418" t="s">
        <v>885</v>
      </c>
    </row>
    <row r="419" spans="1:7">
      <c r="A419" t="s">
        <v>2936</v>
      </c>
      <c r="B419" t="s">
        <v>237</v>
      </c>
      <c r="C419" t="s">
        <v>2476</v>
      </c>
      <c r="D419" t="s">
        <v>2477</v>
      </c>
      <c r="E419">
        <v>2</v>
      </c>
      <c r="F419">
        <v>4</v>
      </c>
      <c r="G419" t="s">
        <v>1985</v>
      </c>
    </row>
    <row r="420" spans="1:7">
      <c r="A420" t="s">
        <v>2937</v>
      </c>
      <c r="B420" t="s">
        <v>1954</v>
      </c>
      <c r="C420" t="s">
        <v>2493</v>
      </c>
      <c r="D420" t="s">
        <v>2491</v>
      </c>
      <c r="E420">
        <v>10</v>
      </c>
      <c r="F420">
        <v>5</v>
      </c>
      <c r="G420" t="s">
        <v>1042</v>
      </c>
    </row>
    <row r="421" spans="1:7">
      <c r="A421" t="s">
        <v>2938</v>
      </c>
      <c r="B421" t="s">
        <v>2327</v>
      </c>
      <c r="C421" t="s">
        <v>2476</v>
      </c>
      <c r="D421" t="s">
        <v>2504</v>
      </c>
      <c r="E421">
        <v>4</v>
      </c>
      <c r="F421">
        <v>1</v>
      </c>
      <c r="G421" t="s">
        <v>1189</v>
      </c>
    </row>
    <row r="422" spans="1:7">
      <c r="A422" t="s">
        <v>2939</v>
      </c>
      <c r="B422" t="s">
        <v>2392</v>
      </c>
      <c r="C422" t="s">
        <v>2493</v>
      </c>
      <c r="D422" t="s">
        <v>2480</v>
      </c>
      <c r="E422">
        <v>9</v>
      </c>
      <c r="F422">
        <v>4</v>
      </c>
      <c r="G422" t="s">
        <v>2768</v>
      </c>
    </row>
    <row r="423" spans="1:7">
      <c r="A423" t="s">
        <v>2940</v>
      </c>
      <c r="B423" t="s">
        <v>161</v>
      </c>
      <c r="C423" t="s">
        <v>2493</v>
      </c>
      <c r="D423" t="s">
        <v>2491</v>
      </c>
      <c r="E423">
        <v>3</v>
      </c>
      <c r="F423">
        <v>2</v>
      </c>
      <c r="G423" t="s">
        <v>510</v>
      </c>
    </row>
    <row r="424" spans="1:7">
      <c r="A424" t="s">
        <v>2941</v>
      </c>
      <c r="B424" t="s">
        <v>1459</v>
      </c>
      <c r="C424" t="s">
        <v>2482</v>
      </c>
      <c r="D424" t="s">
        <v>2491</v>
      </c>
      <c r="E424">
        <v>8</v>
      </c>
      <c r="F424">
        <v>3</v>
      </c>
      <c r="G424" t="s">
        <v>2370</v>
      </c>
    </row>
    <row r="425" spans="1:7">
      <c r="A425" t="s">
        <v>2942</v>
      </c>
      <c r="B425" t="s">
        <v>653</v>
      </c>
      <c r="C425" t="s">
        <v>2485</v>
      </c>
      <c r="D425" t="s">
        <v>2477</v>
      </c>
      <c r="E425">
        <v>8</v>
      </c>
      <c r="F425">
        <v>4</v>
      </c>
      <c r="G425" t="s">
        <v>1177</v>
      </c>
    </row>
    <row r="426" spans="1:7">
      <c r="A426" t="s">
        <v>2943</v>
      </c>
      <c r="B426" t="s">
        <v>1990</v>
      </c>
      <c r="C426" t="s">
        <v>2482</v>
      </c>
      <c r="D426" t="s">
        <v>2504</v>
      </c>
      <c r="E426">
        <v>7</v>
      </c>
      <c r="F426">
        <v>5</v>
      </c>
      <c r="G426" t="s">
        <v>1224</v>
      </c>
    </row>
    <row r="427" spans="1:7">
      <c r="A427" t="s">
        <v>2944</v>
      </c>
      <c r="B427" t="s">
        <v>1794</v>
      </c>
      <c r="C427" t="s">
        <v>2485</v>
      </c>
      <c r="D427" t="s">
        <v>2504</v>
      </c>
      <c r="E427">
        <v>1</v>
      </c>
      <c r="F427">
        <v>1</v>
      </c>
      <c r="G427" t="s">
        <v>167</v>
      </c>
    </row>
    <row r="428" spans="1:7">
      <c r="A428" t="s">
        <v>2945</v>
      </c>
      <c r="B428" t="s">
        <v>1651</v>
      </c>
      <c r="C428" t="s">
        <v>2476</v>
      </c>
      <c r="D428" t="s">
        <v>2504</v>
      </c>
      <c r="E428">
        <v>1</v>
      </c>
      <c r="F428">
        <v>4</v>
      </c>
      <c r="G428" t="s">
        <v>952</v>
      </c>
    </row>
    <row r="429" spans="1:7">
      <c r="A429" t="s">
        <v>2946</v>
      </c>
      <c r="B429" t="s">
        <v>857</v>
      </c>
      <c r="C429" t="s">
        <v>2479</v>
      </c>
      <c r="D429" t="s">
        <v>2491</v>
      </c>
      <c r="E429">
        <v>3</v>
      </c>
      <c r="F429">
        <v>4</v>
      </c>
      <c r="G429" t="s">
        <v>980</v>
      </c>
    </row>
    <row r="430" spans="1:7">
      <c r="A430" t="s">
        <v>2947</v>
      </c>
      <c r="B430" t="s">
        <v>848</v>
      </c>
      <c r="C430" t="s">
        <v>2479</v>
      </c>
      <c r="D430" t="s">
        <v>2491</v>
      </c>
      <c r="E430">
        <v>2</v>
      </c>
      <c r="F430">
        <v>4</v>
      </c>
      <c r="G430" t="s">
        <v>358</v>
      </c>
    </row>
    <row r="431" spans="1:7">
      <c r="A431" t="s">
        <v>2948</v>
      </c>
      <c r="B431" t="s">
        <v>1439</v>
      </c>
      <c r="C431" t="s">
        <v>2479</v>
      </c>
      <c r="D431" t="s">
        <v>2491</v>
      </c>
      <c r="E431">
        <v>1</v>
      </c>
      <c r="F431">
        <v>5</v>
      </c>
      <c r="G431" t="s">
        <v>414</v>
      </c>
    </row>
    <row r="432" spans="1:7">
      <c r="A432" t="s">
        <v>2949</v>
      </c>
      <c r="B432" t="s">
        <v>827</v>
      </c>
      <c r="C432" t="s">
        <v>2476</v>
      </c>
      <c r="D432" t="s">
        <v>2480</v>
      </c>
      <c r="E432">
        <v>7</v>
      </c>
      <c r="F432">
        <v>5</v>
      </c>
      <c r="G432" t="s">
        <v>1790</v>
      </c>
    </row>
    <row r="433" spans="1:7">
      <c r="A433" t="s">
        <v>2950</v>
      </c>
      <c r="B433" t="s">
        <v>2152</v>
      </c>
      <c r="C433" t="s">
        <v>2482</v>
      </c>
      <c r="D433" t="s">
        <v>2477</v>
      </c>
      <c r="E433">
        <v>10</v>
      </c>
      <c r="F433">
        <v>1</v>
      </c>
      <c r="G433" t="s">
        <v>574</v>
      </c>
    </row>
    <row r="434" spans="1:7">
      <c r="A434" t="s">
        <v>2951</v>
      </c>
      <c r="B434" t="s">
        <v>901</v>
      </c>
      <c r="C434" t="s">
        <v>2479</v>
      </c>
      <c r="D434" t="s">
        <v>2477</v>
      </c>
      <c r="E434">
        <v>5</v>
      </c>
      <c r="F434">
        <v>5</v>
      </c>
      <c r="G434" t="s">
        <v>2916</v>
      </c>
    </row>
    <row r="435" spans="1:7">
      <c r="A435" t="s">
        <v>2952</v>
      </c>
      <c r="B435" t="s">
        <v>2085</v>
      </c>
      <c r="C435" t="s">
        <v>2493</v>
      </c>
      <c r="D435" t="s">
        <v>2491</v>
      </c>
      <c r="E435">
        <v>9</v>
      </c>
      <c r="F435">
        <v>1</v>
      </c>
      <c r="G435" t="s">
        <v>2018</v>
      </c>
    </row>
    <row r="436" spans="1:7">
      <c r="A436" t="s">
        <v>2953</v>
      </c>
      <c r="B436" t="s">
        <v>1928</v>
      </c>
      <c r="C436" t="s">
        <v>2479</v>
      </c>
      <c r="D436" t="s">
        <v>2491</v>
      </c>
      <c r="E436">
        <v>10</v>
      </c>
      <c r="F436">
        <v>3</v>
      </c>
      <c r="G436" t="s">
        <v>1006</v>
      </c>
    </row>
    <row r="437" spans="1:7">
      <c r="A437" t="s">
        <v>2954</v>
      </c>
      <c r="B437" t="s">
        <v>1826</v>
      </c>
      <c r="C437" t="s">
        <v>2493</v>
      </c>
      <c r="D437" t="s">
        <v>2477</v>
      </c>
      <c r="E437">
        <v>10</v>
      </c>
      <c r="F437">
        <v>2</v>
      </c>
      <c r="G437" t="s">
        <v>1988</v>
      </c>
    </row>
    <row r="438" spans="1:7">
      <c r="A438" t="s">
        <v>2955</v>
      </c>
      <c r="B438" t="s">
        <v>2252</v>
      </c>
      <c r="C438" t="s">
        <v>2493</v>
      </c>
      <c r="D438" t="s">
        <v>2477</v>
      </c>
      <c r="E438">
        <v>4</v>
      </c>
      <c r="F438">
        <v>1</v>
      </c>
      <c r="G438" t="s">
        <v>776</v>
      </c>
    </row>
    <row r="439" spans="1:7">
      <c r="A439" t="s">
        <v>2956</v>
      </c>
      <c r="B439" t="s">
        <v>1270</v>
      </c>
      <c r="C439" t="s">
        <v>2479</v>
      </c>
      <c r="D439" t="s">
        <v>2480</v>
      </c>
      <c r="E439">
        <v>7</v>
      </c>
      <c r="F439">
        <v>3</v>
      </c>
      <c r="G439" t="s">
        <v>2957</v>
      </c>
    </row>
    <row r="440" spans="1:7">
      <c r="A440" t="s">
        <v>2958</v>
      </c>
      <c r="B440" t="s">
        <v>2294</v>
      </c>
      <c r="C440" t="s">
        <v>2479</v>
      </c>
      <c r="D440" t="s">
        <v>2504</v>
      </c>
      <c r="E440">
        <v>2</v>
      </c>
      <c r="F440">
        <v>4</v>
      </c>
      <c r="G440" t="s">
        <v>2768</v>
      </c>
    </row>
    <row r="441" spans="1:7">
      <c r="A441" t="s">
        <v>2959</v>
      </c>
      <c r="B441" t="s">
        <v>1778</v>
      </c>
      <c r="C441" t="s">
        <v>2476</v>
      </c>
      <c r="D441" t="s">
        <v>2504</v>
      </c>
      <c r="E441">
        <v>7</v>
      </c>
      <c r="F441">
        <v>1</v>
      </c>
      <c r="G441" t="s">
        <v>568</v>
      </c>
    </row>
    <row r="442" spans="1:7">
      <c r="A442" t="s">
        <v>2960</v>
      </c>
      <c r="B442" t="s">
        <v>1557</v>
      </c>
      <c r="C442" t="s">
        <v>2479</v>
      </c>
      <c r="D442" t="s">
        <v>2491</v>
      </c>
      <c r="E442">
        <v>8</v>
      </c>
      <c r="F442">
        <v>4</v>
      </c>
      <c r="G442" t="s">
        <v>562</v>
      </c>
    </row>
    <row r="443" spans="1:7">
      <c r="A443" t="s">
        <v>2961</v>
      </c>
      <c r="B443" t="s">
        <v>1913</v>
      </c>
      <c r="C443" t="s">
        <v>2482</v>
      </c>
      <c r="D443" t="s">
        <v>2504</v>
      </c>
      <c r="E443">
        <v>7</v>
      </c>
      <c r="F443">
        <v>4</v>
      </c>
      <c r="G443" t="s">
        <v>2962</v>
      </c>
    </row>
    <row r="444" spans="1:7">
      <c r="A444" t="s">
        <v>2963</v>
      </c>
      <c r="B444" t="s">
        <v>1787</v>
      </c>
      <c r="C444" t="s">
        <v>2493</v>
      </c>
      <c r="D444" t="s">
        <v>2480</v>
      </c>
      <c r="E444">
        <v>6</v>
      </c>
      <c r="F444">
        <v>3</v>
      </c>
      <c r="G444" t="s">
        <v>1597</v>
      </c>
    </row>
    <row r="445" spans="1:7">
      <c r="A445" t="s">
        <v>2964</v>
      </c>
      <c r="B445" t="s">
        <v>1816</v>
      </c>
      <c r="C445" t="s">
        <v>2493</v>
      </c>
      <c r="D445" t="s">
        <v>2504</v>
      </c>
      <c r="E445">
        <v>3</v>
      </c>
      <c r="F445">
        <v>1</v>
      </c>
      <c r="G445" t="s">
        <v>2965</v>
      </c>
    </row>
    <row r="446" spans="1:7">
      <c r="A446" t="s">
        <v>2966</v>
      </c>
      <c r="B446" t="s">
        <v>1535</v>
      </c>
      <c r="C446" t="s">
        <v>2485</v>
      </c>
      <c r="D446" t="s">
        <v>2480</v>
      </c>
      <c r="E446">
        <v>6</v>
      </c>
      <c r="F446">
        <v>2</v>
      </c>
      <c r="G446" t="s">
        <v>2957</v>
      </c>
    </row>
    <row r="447" spans="1:7">
      <c r="A447" t="s">
        <v>2967</v>
      </c>
      <c r="B447" t="s">
        <v>137</v>
      </c>
      <c r="C447" t="s">
        <v>2485</v>
      </c>
      <c r="D447" t="s">
        <v>2480</v>
      </c>
      <c r="E447">
        <v>9</v>
      </c>
      <c r="F447">
        <v>5</v>
      </c>
      <c r="G447" t="s">
        <v>1858</v>
      </c>
    </row>
    <row r="448" spans="1:7">
      <c r="A448" t="s">
        <v>2968</v>
      </c>
      <c r="B448" t="s">
        <v>1653</v>
      </c>
      <c r="C448" t="s">
        <v>2479</v>
      </c>
      <c r="D448" t="s">
        <v>2477</v>
      </c>
      <c r="E448">
        <v>7</v>
      </c>
      <c r="F448">
        <v>5</v>
      </c>
      <c r="G448" t="s">
        <v>1764</v>
      </c>
    </row>
    <row r="449" spans="1:7">
      <c r="A449" t="s">
        <v>2969</v>
      </c>
      <c r="B449" t="s">
        <v>2195</v>
      </c>
      <c r="C449" t="s">
        <v>2485</v>
      </c>
      <c r="D449" t="s">
        <v>2477</v>
      </c>
      <c r="E449">
        <v>2</v>
      </c>
      <c r="F449">
        <v>4</v>
      </c>
      <c r="G449" t="s">
        <v>1541</v>
      </c>
    </row>
    <row r="450" spans="1:7">
      <c r="A450" t="s">
        <v>2970</v>
      </c>
      <c r="B450" t="s">
        <v>2380</v>
      </c>
      <c r="C450" t="s">
        <v>2479</v>
      </c>
      <c r="D450" t="s">
        <v>2504</v>
      </c>
      <c r="E450">
        <v>3</v>
      </c>
      <c r="F450">
        <v>1</v>
      </c>
      <c r="G450" t="s">
        <v>683</v>
      </c>
    </row>
    <row r="451" spans="1:7">
      <c r="A451" t="s">
        <v>2971</v>
      </c>
      <c r="B451" t="s">
        <v>1855</v>
      </c>
      <c r="C451" t="s">
        <v>2476</v>
      </c>
      <c r="D451" t="s">
        <v>2491</v>
      </c>
      <c r="E451">
        <v>9</v>
      </c>
      <c r="F451">
        <v>2</v>
      </c>
      <c r="G451" t="s">
        <v>879</v>
      </c>
    </row>
    <row r="452" spans="1:7">
      <c r="A452" t="s">
        <v>2972</v>
      </c>
      <c r="B452" t="s">
        <v>1748</v>
      </c>
      <c r="C452" t="s">
        <v>2479</v>
      </c>
      <c r="D452" t="s">
        <v>2504</v>
      </c>
      <c r="E452">
        <v>7</v>
      </c>
      <c r="F452">
        <v>3</v>
      </c>
      <c r="G452" t="s">
        <v>1339</v>
      </c>
    </row>
    <row r="453" spans="1:7">
      <c r="A453" t="s">
        <v>2973</v>
      </c>
      <c r="B453" t="s">
        <v>2378</v>
      </c>
      <c r="C453" t="s">
        <v>2482</v>
      </c>
      <c r="D453" t="s">
        <v>2477</v>
      </c>
      <c r="E453">
        <v>7</v>
      </c>
      <c r="F453">
        <v>1</v>
      </c>
      <c r="G453" t="s">
        <v>200</v>
      </c>
    </row>
    <row r="454" spans="1:7">
      <c r="A454" t="s">
        <v>2974</v>
      </c>
      <c r="B454" t="s">
        <v>1557</v>
      </c>
      <c r="C454" t="s">
        <v>2485</v>
      </c>
      <c r="D454" t="s">
        <v>2504</v>
      </c>
      <c r="E454">
        <v>1</v>
      </c>
      <c r="F454">
        <v>2</v>
      </c>
      <c r="G454" t="s">
        <v>1157</v>
      </c>
    </row>
    <row r="455" spans="1:7">
      <c r="A455" t="s">
        <v>2975</v>
      </c>
      <c r="B455" t="s">
        <v>2382</v>
      </c>
      <c r="C455" t="s">
        <v>2482</v>
      </c>
      <c r="D455" t="s">
        <v>2480</v>
      </c>
      <c r="E455">
        <v>9</v>
      </c>
      <c r="F455">
        <v>3</v>
      </c>
      <c r="G455" t="s">
        <v>2515</v>
      </c>
    </row>
    <row r="456" spans="1:7">
      <c r="A456" t="s">
        <v>2976</v>
      </c>
      <c r="B456" t="s">
        <v>1577</v>
      </c>
      <c r="C456" t="s">
        <v>2493</v>
      </c>
      <c r="D456" t="s">
        <v>2477</v>
      </c>
      <c r="E456">
        <v>8</v>
      </c>
      <c r="F456">
        <v>5</v>
      </c>
      <c r="G456" t="s">
        <v>538</v>
      </c>
    </row>
    <row r="457" spans="1:7">
      <c r="A457" t="s">
        <v>2977</v>
      </c>
      <c r="B457" t="s">
        <v>1218</v>
      </c>
      <c r="C457" t="s">
        <v>2479</v>
      </c>
      <c r="D457" t="s">
        <v>2480</v>
      </c>
      <c r="E457">
        <v>2</v>
      </c>
      <c r="F457">
        <v>2</v>
      </c>
      <c r="G457" t="s">
        <v>2886</v>
      </c>
    </row>
    <row r="458" spans="1:7">
      <c r="A458" t="s">
        <v>2978</v>
      </c>
      <c r="B458" t="s">
        <v>1874</v>
      </c>
      <c r="C458" t="s">
        <v>2493</v>
      </c>
      <c r="D458" t="s">
        <v>2491</v>
      </c>
      <c r="E458">
        <v>1</v>
      </c>
      <c r="F458">
        <v>3</v>
      </c>
      <c r="G458" t="s">
        <v>1952</v>
      </c>
    </row>
    <row r="459" spans="1:7">
      <c r="A459" t="s">
        <v>2979</v>
      </c>
      <c r="B459" t="s">
        <v>2106</v>
      </c>
      <c r="C459" t="s">
        <v>2482</v>
      </c>
      <c r="D459" t="s">
        <v>2504</v>
      </c>
      <c r="E459">
        <v>8</v>
      </c>
      <c r="F459">
        <v>1</v>
      </c>
      <c r="G459" t="s">
        <v>2057</v>
      </c>
    </row>
    <row r="460" spans="1:7">
      <c r="A460" t="s">
        <v>2980</v>
      </c>
      <c r="B460" t="s">
        <v>2160</v>
      </c>
      <c r="C460" t="s">
        <v>2479</v>
      </c>
      <c r="D460" t="s">
        <v>2477</v>
      </c>
      <c r="E460">
        <v>1</v>
      </c>
      <c r="F460">
        <v>3</v>
      </c>
      <c r="G460" t="s">
        <v>287</v>
      </c>
    </row>
    <row r="461" spans="1:7">
      <c r="A461" t="s">
        <v>2981</v>
      </c>
      <c r="B461" t="s">
        <v>969</v>
      </c>
      <c r="C461" t="s">
        <v>2482</v>
      </c>
      <c r="D461" t="s">
        <v>2504</v>
      </c>
      <c r="E461">
        <v>10</v>
      </c>
      <c r="F461">
        <v>1</v>
      </c>
      <c r="G461" t="s">
        <v>462</v>
      </c>
    </row>
    <row r="462" spans="1:7">
      <c r="A462" t="s">
        <v>2982</v>
      </c>
      <c r="B462" t="s">
        <v>2440</v>
      </c>
      <c r="C462" t="s">
        <v>2482</v>
      </c>
      <c r="D462" t="s">
        <v>2477</v>
      </c>
      <c r="E462">
        <v>3</v>
      </c>
      <c r="F462">
        <v>1</v>
      </c>
      <c r="G462" t="s">
        <v>340</v>
      </c>
    </row>
    <row r="463" spans="1:7">
      <c r="A463" t="s">
        <v>2983</v>
      </c>
      <c r="B463" t="s">
        <v>893</v>
      </c>
      <c r="C463" t="s">
        <v>2479</v>
      </c>
      <c r="D463" t="s">
        <v>2504</v>
      </c>
      <c r="E463">
        <v>2</v>
      </c>
      <c r="F463">
        <v>5</v>
      </c>
      <c r="G463" t="s">
        <v>1939</v>
      </c>
    </row>
    <row r="464" spans="1:7">
      <c r="A464" t="s">
        <v>2984</v>
      </c>
      <c r="B464" t="s">
        <v>1949</v>
      </c>
      <c r="C464" t="s">
        <v>2485</v>
      </c>
      <c r="D464" t="s">
        <v>2504</v>
      </c>
      <c r="E464">
        <v>4</v>
      </c>
      <c r="F464">
        <v>5</v>
      </c>
      <c r="G464" t="s">
        <v>2795</v>
      </c>
    </row>
    <row r="465" spans="1:7">
      <c r="A465" t="s">
        <v>2985</v>
      </c>
      <c r="B465" t="s">
        <v>469</v>
      </c>
      <c r="C465" t="s">
        <v>2476</v>
      </c>
      <c r="D465" t="s">
        <v>2480</v>
      </c>
      <c r="E465">
        <v>3</v>
      </c>
      <c r="F465">
        <v>4</v>
      </c>
      <c r="G465" t="s">
        <v>2515</v>
      </c>
    </row>
    <row r="466" spans="1:7">
      <c r="A466" t="s">
        <v>2986</v>
      </c>
      <c r="B466" t="s">
        <v>2344</v>
      </c>
      <c r="C466" t="s">
        <v>2479</v>
      </c>
      <c r="D466" t="s">
        <v>2480</v>
      </c>
      <c r="E466">
        <v>9</v>
      </c>
      <c r="F466">
        <v>5</v>
      </c>
      <c r="G466" t="s">
        <v>87</v>
      </c>
    </row>
    <row r="467" spans="1:7">
      <c r="A467" t="s">
        <v>2987</v>
      </c>
      <c r="B467" t="s">
        <v>751</v>
      </c>
      <c r="C467" t="s">
        <v>2482</v>
      </c>
      <c r="D467" t="s">
        <v>2477</v>
      </c>
      <c r="E467">
        <v>2</v>
      </c>
      <c r="F467">
        <v>5</v>
      </c>
      <c r="G467" t="s">
        <v>1477</v>
      </c>
    </row>
    <row r="468" spans="1:7">
      <c r="A468" t="s">
        <v>2988</v>
      </c>
      <c r="B468" t="s">
        <v>1303</v>
      </c>
      <c r="C468" t="s">
        <v>2482</v>
      </c>
      <c r="D468" t="s">
        <v>2480</v>
      </c>
      <c r="E468">
        <v>9</v>
      </c>
      <c r="F468">
        <v>2</v>
      </c>
      <c r="G468" t="s">
        <v>1085</v>
      </c>
    </row>
    <row r="469" spans="1:7">
      <c r="A469" t="s">
        <v>2989</v>
      </c>
      <c r="B469" t="s">
        <v>2331</v>
      </c>
      <c r="C469" t="s">
        <v>2485</v>
      </c>
      <c r="D469" t="s">
        <v>2480</v>
      </c>
      <c r="E469">
        <v>4</v>
      </c>
      <c r="F469">
        <v>3</v>
      </c>
      <c r="G469" t="s">
        <v>733</v>
      </c>
    </row>
    <row r="470" spans="1:7">
      <c r="A470" t="s">
        <v>2990</v>
      </c>
      <c r="B470" t="s">
        <v>687</v>
      </c>
      <c r="C470" t="s">
        <v>2493</v>
      </c>
      <c r="D470" t="s">
        <v>2504</v>
      </c>
      <c r="E470">
        <v>8</v>
      </c>
      <c r="F470">
        <v>1</v>
      </c>
      <c r="G470" t="s">
        <v>2690</v>
      </c>
    </row>
    <row r="471" spans="1:7">
      <c r="A471" t="s">
        <v>2991</v>
      </c>
      <c r="B471" t="s">
        <v>1738</v>
      </c>
      <c r="C471" t="s">
        <v>2479</v>
      </c>
      <c r="D471" t="s">
        <v>2477</v>
      </c>
      <c r="E471">
        <v>1</v>
      </c>
      <c r="F471">
        <v>2</v>
      </c>
      <c r="G471" t="s">
        <v>2992</v>
      </c>
    </row>
    <row r="472" spans="1:7">
      <c r="A472" t="s">
        <v>2993</v>
      </c>
      <c r="B472" t="s">
        <v>1298</v>
      </c>
      <c r="C472" t="s">
        <v>2485</v>
      </c>
      <c r="D472" t="s">
        <v>2504</v>
      </c>
      <c r="E472">
        <v>6</v>
      </c>
      <c r="F472">
        <v>2</v>
      </c>
      <c r="G472" t="s">
        <v>2782</v>
      </c>
    </row>
    <row r="473" spans="1:7">
      <c r="A473" t="s">
        <v>2994</v>
      </c>
      <c r="B473" t="s">
        <v>2052</v>
      </c>
      <c r="C473" t="s">
        <v>2476</v>
      </c>
      <c r="D473" t="s">
        <v>2504</v>
      </c>
      <c r="E473">
        <v>10</v>
      </c>
      <c r="F473">
        <v>2</v>
      </c>
      <c r="G473" t="s">
        <v>144</v>
      </c>
    </row>
    <row r="474" spans="1:7">
      <c r="A474" t="s">
        <v>2995</v>
      </c>
      <c r="B474" t="s">
        <v>1393</v>
      </c>
      <c r="C474" t="s">
        <v>2476</v>
      </c>
      <c r="D474" t="s">
        <v>2480</v>
      </c>
      <c r="E474">
        <v>7</v>
      </c>
      <c r="F474">
        <v>5</v>
      </c>
      <c r="G474" t="s">
        <v>369</v>
      </c>
    </row>
    <row r="475" spans="1:7">
      <c r="A475" t="s">
        <v>2996</v>
      </c>
      <c r="B475" t="s">
        <v>1978</v>
      </c>
      <c r="C475" t="s">
        <v>2476</v>
      </c>
      <c r="D475" t="s">
        <v>2504</v>
      </c>
      <c r="E475">
        <v>9</v>
      </c>
      <c r="F475">
        <v>4</v>
      </c>
      <c r="G475" t="s">
        <v>380</v>
      </c>
    </row>
    <row r="476" spans="1:7">
      <c r="A476" t="s">
        <v>2997</v>
      </c>
      <c r="B476" t="s">
        <v>726</v>
      </c>
      <c r="C476" t="s">
        <v>2482</v>
      </c>
      <c r="D476" t="s">
        <v>2477</v>
      </c>
      <c r="E476">
        <v>2</v>
      </c>
      <c r="F476">
        <v>4</v>
      </c>
      <c r="G476" t="s">
        <v>2859</v>
      </c>
    </row>
    <row r="477" spans="1:7">
      <c r="A477" t="s">
        <v>2998</v>
      </c>
      <c r="B477" t="s">
        <v>2433</v>
      </c>
      <c r="C477" t="s">
        <v>2479</v>
      </c>
      <c r="D477" t="s">
        <v>2491</v>
      </c>
      <c r="E477">
        <v>5</v>
      </c>
      <c r="F477">
        <v>3</v>
      </c>
      <c r="G477" t="s">
        <v>2498</v>
      </c>
    </row>
    <row r="478" spans="1:7">
      <c r="A478" t="s">
        <v>2999</v>
      </c>
      <c r="B478" t="s">
        <v>1697</v>
      </c>
      <c r="C478" t="s">
        <v>2479</v>
      </c>
      <c r="D478" t="s">
        <v>2504</v>
      </c>
      <c r="E478">
        <v>7</v>
      </c>
      <c r="F478">
        <v>4</v>
      </c>
      <c r="G478" t="s">
        <v>316</v>
      </c>
    </row>
    <row r="479" spans="1:7">
      <c r="A479" t="s">
        <v>3000</v>
      </c>
      <c r="B479" t="s">
        <v>1682</v>
      </c>
      <c r="C479" t="s">
        <v>2485</v>
      </c>
      <c r="D479" t="s">
        <v>2477</v>
      </c>
      <c r="E479">
        <v>3</v>
      </c>
      <c r="F479">
        <v>3</v>
      </c>
      <c r="G479" t="s">
        <v>591</v>
      </c>
    </row>
    <row r="480" spans="1:7">
      <c r="A480" t="s">
        <v>3001</v>
      </c>
      <c r="B480" t="s">
        <v>1275</v>
      </c>
      <c r="C480" t="s">
        <v>2476</v>
      </c>
      <c r="D480" t="s">
        <v>2504</v>
      </c>
      <c r="E480">
        <v>1</v>
      </c>
      <c r="F480">
        <v>1</v>
      </c>
      <c r="G480" t="s">
        <v>218</v>
      </c>
    </row>
    <row r="481" spans="1:7">
      <c r="A481" t="s">
        <v>3002</v>
      </c>
      <c r="B481" t="s">
        <v>1818</v>
      </c>
      <c r="C481" t="s">
        <v>2476</v>
      </c>
      <c r="D481" t="s">
        <v>2491</v>
      </c>
      <c r="E481">
        <v>3</v>
      </c>
      <c r="F481">
        <v>2</v>
      </c>
      <c r="G481" t="s">
        <v>322</v>
      </c>
    </row>
    <row r="482" spans="1:7">
      <c r="A482" t="s">
        <v>3003</v>
      </c>
      <c r="B482" t="s">
        <v>984</v>
      </c>
      <c r="C482" t="s">
        <v>2479</v>
      </c>
      <c r="D482" t="s">
        <v>2480</v>
      </c>
      <c r="E482">
        <v>9</v>
      </c>
      <c r="F482">
        <v>1</v>
      </c>
      <c r="G482" t="s">
        <v>182</v>
      </c>
    </row>
    <row r="483" spans="1:7">
      <c r="A483" t="s">
        <v>3004</v>
      </c>
      <c r="B483" t="s">
        <v>1682</v>
      </c>
      <c r="C483" t="s">
        <v>2479</v>
      </c>
      <c r="D483" t="s">
        <v>2477</v>
      </c>
      <c r="E483">
        <v>10</v>
      </c>
      <c r="F483">
        <v>3</v>
      </c>
      <c r="G483" t="s">
        <v>837</v>
      </c>
    </row>
    <row r="484" spans="1:7">
      <c r="A484" t="s">
        <v>3005</v>
      </c>
      <c r="B484" t="s">
        <v>1093</v>
      </c>
      <c r="C484" t="s">
        <v>2485</v>
      </c>
      <c r="D484" t="s">
        <v>2491</v>
      </c>
      <c r="E484">
        <v>4</v>
      </c>
      <c r="F484">
        <v>2</v>
      </c>
      <c r="G484" t="s">
        <v>1430</v>
      </c>
    </row>
    <row r="485" spans="1:7">
      <c r="A485" t="s">
        <v>3006</v>
      </c>
      <c r="B485" t="s">
        <v>482</v>
      </c>
      <c r="C485" t="s">
        <v>2482</v>
      </c>
      <c r="D485" t="s">
        <v>2491</v>
      </c>
      <c r="E485">
        <v>5</v>
      </c>
      <c r="F485">
        <v>1</v>
      </c>
      <c r="G485" t="s">
        <v>3007</v>
      </c>
    </row>
    <row r="486" spans="1:7">
      <c r="A486" t="s">
        <v>3008</v>
      </c>
      <c r="B486" t="s">
        <v>1140</v>
      </c>
      <c r="C486" t="s">
        <v>2479</v>
      </c>
      <c r="D486" t="s">
        <v>2477</v>
      </c>
      <c r="E486">
        <v>2</v>
      </c>
      <c r="F486">
        <v>4</v>
      </c>
      <c r="G486" t="s">
        <v>287</v>
      </c>
    </row>
    <row r="487" spans="1:7">
      <c r="A487" t="s">
        <v>3009</v>
      </c>
      <c r="B487" t="s">
        <v>1709</v>
      </c>
      <c r="C487" t="s">
        <v>2493</v>
      </c>
      <c r="D487" t="s">
        <v>2480</v>
      </c>
      <c r="E487">
        <v>4</v>
      </c>
      <c r="F487">
        <v>5</v>
      </c>
      <c r="G487" t="s">
        <v>87</v>
      </c>
    </row>
    <row r="488" spans="1:7">
      <c r="A488" t="s">
        <v>3010</v>
      </c>
      <c r="B488" t="s">
        <v>1678</v>
      </c>
      <c r="C488" t="s">
        <v>2493</v>
      </c>
      <c r="D488" t="s">
        <v>2504</v>
      </c>
      <c r="E488">
        <v>7</v>
      </c>
      <c r="F488">
        <v>2</v>
      </c>
      <c r="G488" t="s">
        <v>126</v>
      </c>
    </row>
    <row r="489" spans="1:7">
      <c r="A489" t="s">
        <v>3011</v>
      </c>
      <c r="B489" t="s">
        <v>119</v>
      </c>
      <c r="C489" t="s">
        <v>2493</v>
      </c>
      <c r="D489" t="s">
        <v>2480</v>
      </c>
      <c r="E489">
        <v>10</v>
      </c>
      <c r="F489">
        <v>1</v>
      </c>
      <c r="G489" t="s">
        <v>261</v>
      </c>
    </row>
    <row r="490" spans="1:7">
      <c r="A490" t="s">
        <v>3012</v>
      </c>
      <c r="B490" t="s">
        <v>786</v>
      </c>
      <c r="C490" t="s">
        <v>2476</v>
      </c>
      <c r="D490" t="s">
        <v>2504</v>
      </c>
      <c r="E490">
        <v>8</v>
      </c>
      <c r="F490">
        <v>5</v>
      </c>
      <c r="G490" t="s">
        <v>462</v>
      </c>
    </row>
    <row r="491" spans="1:7">
      <c r="A491" t="s">
        <v>3013</v>
      </c>
      <c r="B491" t="s">
        <v>947</v>
      </c>
      <c r="C491" t="s">
        <v>2485</v>
      </c>
      <c r="D491" t="s">
        <v>2504</v>
      </c>
      <c r="E491">
        <v>5</v>
      </c>
      <c r="F491">
        <v>4</v>
      </c>
      <c r="G491" t="s">
        <v>697</v>
      </c>
    </row>
    <row r="492" spans="1:7">
      <c r="A492" t="s">
        <v>3014</v>
      </c>
      <c r="B492" t="s">
        <v>1668</v>
      </c>
      <c r="C492" t="s">
        <v>2479</v>
      </c>
      <c r="D492" t="s">
        <v>2477</v>
      </c>
      <c r="E492">
        <v>4</v>
      </c>
      <c r="F492">
        <v>5</v>
      </c>
      <c r="G492" t="s">
        <v>3015</v>
      </c>
    </row>
    <row r="493" spans="1:7">
      <c r="A493" t="s">
        <v>3016</v>
      </c>
      <c r="B493" t="s">
        <v>1410</v>
      </c>
      <c r="C493" t="s">
        <v>2476</v>
      </c>
      <c r="D493" t="s">
        <v>2480</v>
      </c>
      <c r="E493">
        <v>10</v>
      </c>
      <c r="F493">
        <v>2</v>
      </c>
      <c r="G493" t="s">
        <v>258</v>
      </c>
    </row>
    <row r="494" spans="1:7">
      <c r="A494" t="s">
        <v>3017</v>
      </c>
      <c r="B494" t="s">
        <v>333</v>
      </c>
      <c r="C494" t="s">
        <v>2476</v>
      </c>
      <c r="D494" t="s">
        <v>2477</v>
      </c>
      <c r="E494">
        <v>3</v>
      </c>
      <c r="F494">
        <v>5</v>
      </c>
      <c r="G494" t="s">
        <v>2679</v>
      </c>
    </row>
    <row r="495" spans="1:7">
      <c r="A495" t="s">
        <v>3018</v>
      </c>
      <c r="B495" t="s">
        <v>1457</v>
      </c>
      <c r="C495" t="s">
        <v>2476</v>
      </c>
      <c r="D495" t="s">
        <v>2477</v>
      </c>
      <c r="E495">
        <v>9</v>
      </c>
      <c r="F495">
        <v>1</v>
      </c>
      <c r="G495" t="s">
        <v>787</v>
      </c>
    </row>
    <row r="496" spans="1:7">
      <c r="A496" t="s">
        <v>3019</v>
      </c>
      <c r="B496" t="s">
        <v>1733</v>
      </c>
      <c r="C496" t="s">
        <v>2479</v>
      </c>
      <c r="D496" t="s">
        <v>2477</v>
      </c>
      <c r="E496">
        <v>7</v>
      </c>
      <c r="F496">
        <v>4</v>
      </c>
      <c r="G496" t="s">
        <v>3020</v>
      </c>
    </row>
    <row r="497" spans="1:7">
      <c r="A497" t="s">
        <v>3021</v>
      </c>
      <c r="B497" t="s">
        <v>1410</v>
      </c>
      <c r="C497" t="s">
        <v>2493</v>
      </c>
      <c r="D497" t="s">
        <v>2477</v>
      </c>
      <c r="E497">
        <v>6</v>
      </c>
      <c r="F497">
        <v>1</v>
      </c>
      <c r="G497" t="s">
        <v>497</v>
      </c>
    </row>
    <row r="498" spans="1:7">
      <c r="A498" t="s">
        <v>3022</v>
      </c>
      <c r="B498" t="s">
        <v>1645</v>
      </c>
      <c r="C498" t="s">
        <v>2476</v>
      </c>
      <c r="D498" t="s">
        <v>2491</v>
      </c>
      <c r="E498">
        <v>9</v>
      </c>
      <c r="F498">
        <v>5</v>
      </c>
      <c r="G498" t="s">
        <v>185</v>
      </c>
    </row>
    <row r="499" spans="1:7">
      <c r="A499" t="s">
        <v>3023</v>
      </c>
      <c r="B499" t="s">
        <v>1766</v>
      </c>
      <c r="C499" t="s">
        <v>2485</v>
      </c>
      <c r="D499" t="s">
        <v>2477</v>
      </c>
      <c r="E499">
        <v>9</v>
      </c>
      <c r="F499">
        <v>4</v>
      </c>
      <c r="G499" t="s">
        <v>2826</v>
      </c>
    </row>
    <row r="500" spans="1:7">
      <c r="A500" t="s">
        <v>3024</v>
      </c>
      <c r="B500" t="s">
        <v>590</v>
      </c>
      <c r="C500" t="s">
        <v>2476</v>
      </c>
      <c r="D500" t="s">
        <v>2480</v>
      </c>
      <c r="E500">
        <v>5</v>
      </c>
      <c r="F500">
        <v>5</v>
      </c>
      <c r="G500" t="s">
        <v>398</v>
      </c>
    </row>
    <row r="501" spans="1:7">
      <c r="A501" t="s">
        <v>3025</v>
      </c>
      <c r="B501" t="s">
        <v>1039</v>
      </c>
      <c r="C501" t="s">
        <v>2479</v>
      </c>
      <c r="D501" t="s">
        <v>2491</v>
      </c>
      <c r="E501">
        <v>6</v>
      </c>
      <c r="F501">
        <v>1</v>
      </c>
      <c r="G501" t="s">
        <v>1617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1"/>
  <sheetViews>
    <sheetView workbookViewId="0">
      <selection sqref="A1:G301"/>
    </sheetView>
  </sheetViews>
  <sheetFormatPr defaultRowHeight="15"/>
  <cols>
    <col min="1" max="1" width="10.7109375" bestFit="1" customWidth="1"/>
    <col min="2" max="2" width="12.140625" bestFit="1" customWidth="1"/>
    <col min="3" max="3" width="10.42578125" bestFit="1" customWidth="1"/>
    <col min="4" max="4" width="16" bestFit="1" customWidth="1"/>
    <col min="5" max="5" width="15" bestFit="1" customWidth="1"/>
    <col min="6" max="6" width="12.7109375" bestFit="1" customWidth="1"/>
  </cols>
  <sheetData>
    <row r="1" spans="1:7">
      <c r="A1" s="1" t="s">
        <v>3026</v>
      </c>
      <c r="B1" s="1" t="s">
        <v>4</v>
      </c>
      <c r="C1" s="1" t="s">
        <v>3</v>
      </c>
      <c r="D1" s="1" t="s">
        <v>3027</v>
      </c>
      <c r="E1" s="1" t="s">
        <v>3028</v>
      </c>
      <c r="F1" s="1" t="s">
        <v>3029</v>
      </c>
      <c r="G1" s="1" t="s">
        <v>3030</v>
      </c>
    </row>
    <row r="2" spans="1:7">
      <c r="A2" t="s">
        <v>3031</v>
      </c>
      <c r="B2" t="s">
        <v>42</v>
      </c>
      <c r="C2" t="s">
        <v>78</v>
      </c>
      <c r="D2">
        <v>930162</v>
      </c>
      <c r="E2">
        <v>17</v>
      </c>
      <c r="F2">
        <v>2</v>
      </c>
      <c r="G2" t="s">
        <v>3032</v>
      </c>
    </row>
    <row r="3" spans="1:7">
      <c r="A3" t="s">
        <v>3033</v>
      </c>
      <c r="B3" t="s">
        <v>15</v>
      </c>
      <c r="C3" t="s">
        <v>36</v>
      </c>
      <c r="D3">
        <v>941155</v>
      </c>
      <c r="E3">
        <v>20</v>
      </c>
      <c r="F3">
        <v>4</v>
      </c>
      <c r="G3" t="s">
        <v>3032</v>
      </c>
    </row>
    <row r="4" spans="1:7">
      <c r="A4" t="s">
        <v>3034</v>
      </c>
      <c r="B4" t="s">
        <v>15</v>
      </c>
      <c r="C4" t="s">
        <v>22</v>
      </c>
      <c r="D4">
        <v>320821</v>
      </c>
      <c r="E4">
        <v>19</v>
      </c>
      <c r="F4">
        <v>10</v>
      </c>
      <c r="G4" t="s">
        <v>3035</v>
      </c>
    </row>
    <row r="5" spans="1:7">
      <c r="A5" t="s">
        <v>3036</v>
      </c>
      <c r="B5" t="s">
        <v>23</v>
      </c>
      <c r="C5" t="s">
        <v>78</v>
      </c>
      <c r="D5">
        <v>936151</v>
      </c>
      <c r="E5">
        <v>19</v>
      </c>
      <c r="F5">
        <v>7</v>
      </c>
      <c r="G5" t="s">
        <v>3032</v>
      </c>
    </row>
    <row r="6" spans="1:7">
      <c r="A6" t="s">
        <v>3037</v>
      </c>
      <c r="B6" t="s">
        <v>23</v>
      </c>
      <c r="C6" t="s">
        <v>36</v>
      </c>
      <c r="D6">
        <v>473426</v>
      </c>
      <c r="E6">
        <v>18</v>
      </c>
      <c r="F6">
        <v>3</v>
      </c>
      <c r="G6" t="s">
        <v>3038</v>
      </c>
    </row>
    <row r="7" spans="1:7">
      <c r="A7" t="s">
        <v>3039</v>
      </c>
      <c r="B7" t="s">
        <v>73</v>
      </c>
      <c r="C7" t="s">
        <v>36</v>
      </c>
      <c r="D7">
        <v>86353</v>
      </c>
      <c r="E7">
        <v>9</v>
      </c>
      <c r="F7">
        <v>4</v>
      </c>
      <c r="G7" t="s">
        <v>3040</v>
      </c>
    </row>
    <row r="8" spans="1:7">
      <c r="A8" t="s">
        <v>3041</v>
      </c>
      <c r="B8" t="s">
        <v>30</v>
      </c>
      <c r="C8" t="s">
        <v>78</v>
      </c>
      <c r="D8">
        <v>160602</v>
      </c>
      <c r="E8">
        <v>3</v>
      </c>
      <c r="F8">
        <v>2</v>
      </c>
      <c r="G8" t="s">
        <v>3032</v>
      </c>
    </row>
    <row r="9" spans="1:7">
      <c r="A9" t="s">
        <v>3042</v>
      </c>
      <c r="B9" t="s">
        <v>73</v>
      </c>
      <c r="C9" t="s">
        <v>58</v>
      </c>
      <c r="D9">
        <v>93648</v>
      </c>
      <c r="E9">
        <v>5</v>
      </c>
      <c r="F9">
        <v>4</v>
      </c>
      <c r="G9" t="s">
        <v>3043</v>
      </c>
    </row>
    <row r="10" spans="1:7">
      <c r="A10" t="s">
        <v>3044</v>
      </c>
      <c r="B10" t="s">
        <v>73</v>
      </c>
      <c r="C10" t="s">
        <v>22</v>
      </c>
      <c r="D10">
        <v>859385</v>
      </c>
      <c r="E10">
        <v>3</v>
      </c>
      <c r="F10">
        <v>8</v>
      </c>
      <c r="G10" t="s">
        <v>3045</v>
      </c>
    </row>
    <row r="11" spans="1:7">
      <c r="A11" t="s">
        <v>3046</v>
      </c>
      <c r="B11" t="s">
        <v>30</v>
      </c>
      <c r="C11" t="s">
        <v>58</v>
      </c>
      <c r="D11">
        <v>257706</v>
      </c>
      <c r="E11">
        <v>2</v>
      </c>
      <c r="F11">
        <v>4</v>
      </c>
      <c r="G11" t="s">
        <v>3038</v>
      </c>
    </row>
    <row r="12" spans="1:7">
      <c r="A12" t="s">
        <v>3047</v>
      </c>
      <c r="B12" t="s">
        <v>23</v>
      </c>
      <c r="C12" t="s">
        <v>58</v>
      </c>
      <c r="D12">
        <v>296300</v>
      </c>
      <c r="E12">
        <v>9</v>
      </c>
      <c r="F12">
        <v>1</v>
      </c>
      <c r="G12" t="s">
        <v>3040</v>
      </c>
    </row>
    <row r="13" spans="1:7">
      <c r="A13" t="s">
        <v>3048</v>
      </c>
      <c r="B13" t="s">
        <v>15</v>
      </c>
      <c r="C13" t="s">
        <v>78</v>
      </c>
      <c r="D13">
        <v>909127</v>
      </c>
      <c r="E13">
        <v>17</v>
      </c>
      <c r="F13">
        <v>1</v>
      </c>
      <c r="G13" t="s">
        <v>3049</v>
      </c>
    </row>
    <row r="14" spans="1:7">
      <c r="A14" t="s">
        <v>3050</v>
      </c>
      <c r="B14" t="s">
        <v>73</v>
      </c>
      <c r="C14" t="s">
        <v>78</v>
      </c>
      <c r="D14">
        <v>678995</v>
      </c>
      <c r="E14">
        <v>14</v>
      </c>
      <c r="F14">
        <v>5</v>
      </c>
      <c r="G14" t="s">
        <v>3051</v>
      </c>
    </row>
    <row r="15" spans="1:7">
      <c r="A15" t="s">
        <v>3052</v>
      </c>
      <c r="B15" t="s">
        <v>15</v>
      </c>
      <c r="C15" t="s">
        <v>22</v>
      </c>
      <c r="D15">
        <v>569813</v>
      </c>
      <c r="E15">
        <v>10</v>
      </c>
      <c r="F15">
        <v>7</v>
      </c>
      <c r="G15" t="s">
        <v>3035</v>
      </c>
    </row>
    <row r="16" spans="1:7">
      <c r="A16" t="s">
        <v>3053</v>
      </c>
      <c r="B16" t="s">
        <v>73</v>
      </c>
      <c r="C16" t="s">
        <v>78</v>
      </c>
      <c r="D16">
        <v>621419</v>
      </c>
      <c r="E16">
        <v>3</v>
      </c>
      <c r="F16">
        <v>8</v>
      </c>
      <c r="G16" t="s">
        <v>3054</v>
      </c>
    </row>
    <row r="17" spans="1:7">
      <c r="A17" t="s">
        <v>3055</v>
      </c>
      <c r="B17" t="s">
        <v>73</v>
      </c>
      <c r="C17" t="s">
        <v>78</v>
      </c>
      <c r="D17">
        <v>342530</v>
      </c>
      <c r="E17">
        <v>11</v>
      </c>
      <c r="F17">
        <v>6</v>
      </c>
      <c r="G17" t="s">
        <v>3056</v>
      </c>
    </row>
    <row r="18" spans="1:7">
      <c r="A18" t="s">
        <v>3057</v>
      </c>
      <c r="B18" t="s">
        <v>42</v>
      </c>
      <c r="C18" t="s">
        <v>58</v>
      </c>
      <c r="D18">
        <v>777115</v>
      </c>
      <c r="E18">
        <v>6</v>
      </c>
      <c r="F18">
        <v>7</v>
      </c>
      <c r="G18" t="s">
        <v>3058</v>
      </c>
    </row>
    <row r="19" spans="1:7">
      <c r="A19" t="s">
        <v>3059</v>
      </c>
      <c r="B19" t="s">
        <v>42</v>
      </c>
      <c r="C19" t="s">
        <v>14</v>
      </c>
      <c r="D19">
        <v>63295</v>
      </c>
      <c r="E19">
        <v>7</v>
      </c>
      <c r="F19">
        <v>8</v>
      </c>
      <c r="G19" t="s">
        <v>3060</v>
      </c>
    </row>
    <row r="20" spans="1:7">
      <c r="A20" t="s">
        <v>3061</v>
      </c>
      <c r="B20" t="s">
        <v>30</v>
      </c>
      <c r="C20" t="s">
        <v>14</v>
      </c>
      <c r="D20">
        <v>119760</v>
      </c>
      <c r="E20">
        <v>8</v>
      </c>
      <c r="F20">
        <v>6</v>
      </c>
      <c r="G20" t="s">
        <v>3049</v>
      </c>
    </row>
    <row r="21" spans="1:7">
      <c r="A21" t="s">
        <v>3062</v>
      </c>
      <c r="B21" t="s">
        <v>42</v>
      </c>
      <c r="C21" t="s">
        <v>36</v>
      </c>
      <c r="D21">
        <v>496564</v>
      </c>
      <c r="E21">
        <v>18</v>
      </c>
      <c r="F21">
        <v>4</v>
      </c>
      <c r="G21" t="s">
        <v>3063</v>
      </c>
    </row>
    <row r="22" spans="1:7">
      <c r="A22" t="s">
        <v>3064</v>
      </c>
      <c r="B22" t="s">
        <v>23</v>
      </c>
      <c r="C22" t="s">
        <v>22</v>
      </c>
      <c r="D22">
        <v>181903</v>
      </c>
      <c r="E22">
        <v>7</v>
      </c>
      <c r="F22">
        <v>4</v>
      </c>
      <c r="G22" t="s">
        <v>3065</v>
      </c>
    </row>
    <row r="23" spans="1:7">
      <c r="A23" t="s">
        <v>3066</v>
      </c>
      <c r="B23" t="s">
        <v>42</v>
      </c>
      <c r="C23" t="s">
        <v>22</v>
      </c>
      <c r="D23">
        <v>139337</v>
      </c>
      <c r="E23">
        <v>12</v>
      </c>
      <c r="F23">
        <v>5</v>
      </c>
      <c r="G23" t="s">
        <v>3056</v>
      </c>
    </row>
    <row r="24" spans="1:7">
      <c r="A24" t="s">
        <v>3067</v>
      </c>
      <c r="B24" t="s">
        <v>15</v>
      </c>
      <c r="C24" t="s">
        <v>58</v>
      </c>
      <c r="D24">
        <v>884544</v>
      </c>
      <c r="E24">
        <v>18</v>
      </c>
      <c r="F24">
        <v>9</v>
      </c>
      <c r="G24" t="s">
        <v>3045</v>
      </c>
    </row>
    <row r="25" spans="1:7">
      <c r="A25" t="s">
        <v>3068</v>
      </c>
      <c r="B25" t="s">
        <v>42</v>
      </c>
      <c r="C25" t="s">
        <v>14</v>
      </c>
      <c r="D25">
        <v>610449</v>
      </c>
      <c r="E25">
        <v>6</v>
      </c>
      <c r="F25">
        <v>6</v>
      </c>
      <c r="G25" t="s">
        <v>3040</v>
      </c>
    </row>
    <row r="26" spans="1:7">
      <c r="A26" t="s">
        <v>3069</v>
      </c>
      <c r="B26" t="s">
        <v>23</v>
      </c>
      <c r="C26" t="s">
        <v>78</v>
      </c>
      <c r="D26">
        <v>747578</v>
      </c>
      <c r="E26">
        <v>8</v>
      </c>
      <c r="F26">
        <v>7</v>
      </c>
      <c r="G26" t="s">
        <v>3063</v>
      </c>
    </row>
    <row r="27" spans="1:7">
      <c r="A27" t="s">
        <v>3070</v>
      </c>
      <c r="B27" t="s">
        <v>42</v>
      </c>
      <c r="C27" t="s">
        <v>78</v>
      </c>
      <c r="D27">
        <v>739604</v>
      </c>
      <c r="E27">
        <v>3</v>
      </c>
      <c r="F27">
        <v>4</v>
      </c>
      <c r="G27" t="s">
        <v>3032</v>
      </c>
    </row>
    <row r="28" spans="1:7">
      <c r="A28" t="s">
        <v>3071</v>
      </c>
      <c r="B28" t="s">
        <v>23</v>
      </c>
      <c r="C28" t="s">
        <v>14</v>
      </c>
      <c r="D28">
        <v>488921</v>
      </c>
      <c r="E28">
        <v>14</v>
      </c>
      <c r="F28">
        <v>9</v>
      </c>
      <c r="G28" t="s">
        <v>3056</v>
      </c>
    </row>
    <row r="29" spans="1:7">
      <c r="A29" t="s">
        <v>3072</v>
      </c>
      <c r="B29" t="s">
        <v>73</v>
      </c>
      <c r="C29" t="s">
        <v>14</v>
      </c>
      <c r="D29">
        <v>231863</v>
      </c>
      <c r="E29">
        <v>14</v>
      </c>
      <c r="F29">
        <v>10</v>
      </c>
      <c r="G29" t="s">
        <v>3045</v>
      </c>
    </row>
    <row r="30" spans="1:7">
      <c r="A30" t="s">
        <v>3073</v>
      </c>
      <c r="B30" t="s">
        <v>30</v>
      </c>
      <c r="C30" t="s">
        <v>36</v>
      </c>
      <c r="D30">
        <v>459670</v>
      </c>
      <c r="E30">
        <v>1</v>
      </c>
      <c r="F30">
        <v>3</v>
      </c>
      <c r="G30" t="s">
        <v>3063</v>
      </c>
    </row>
    <row r="31" spans="1:7">
      <c r="A31" t="s">
        <v>3074</v>
      </c>
      <c r="B31" t="s">
        <v>42</v>
      </c>
      <c r="C31" t="s">
        <v>22</v>
      </c>
      <c r="D31">
        <v>511742</v>
      </c>
      <c r="E31">
        <v>8</v>
      </c>
      <c r="F31">
        <v>5</v>
      </c>
      <c r="G31" t="s">
        <v>3075</v>
      </c>
    </row>
    <row r="32" spans="1:7">
      <c r="A32" t="s">
        <v>3076</v>
      </c>
      <c r="B32" t="s">
        <v>23</v>
      </c>
      <c r="C32" t="s">
        <v>78</v>
      </c>
      <c r="D32">
        <v>455016</v>
      </c>
      <c r="E32">
        <v>9</v>
      </c>
      <c r="F32">
        <v>3</v>
      </c>
      <c r="G32" t="s">
        <v>3032</v>
      </c>
    </row>
    <row r="33" spans="1:7">
      <c r="A33" t="s">
        <v>3077</v>
      </c>
      <c r="B33" t="s">
        <v>23</v>
      </c>
      <c r="C33" t="s">
        <v>58</v>
      </c>
      <c r="D33">
        <v>221199</v>
      </c>
      <c r="E33">
        <v>19</v>
      </c>
      <c r="F33">
        <v>9</v>
      </c>
      <c r="G33" t="s">
        <v>3058</v>
      </c>
    </row>
    <row r="34" spans="1:7">
      <c r="A34" t="s">
        <v>3078</v>
      </c>
      <c r="B34" t="s">
        <v>30</v>
      </c>
      <c r="C34" t="s">
        <v>36</v>
      </c>
      <c r="D34">
        <v>972090</v>
      </c>
      <c r="E34">
        <v>10</v>
      </c>
      <c r="F34">
        <v>2</v>
      </c>
      <c r="G34" t="s">
        <v>3058</v>
      </c>
    </row>
    <row r="35" spans="1:7">
      <c r="A35" t="s">
        <v>3079</v>
      </c>
      <c r="B35" t="s">
        <v>42</v>
      </c>
      <c r="C35" t="s">
        <v>58</v>
      </c>
      <c r="D35">
        <v>238104</v>
      </c>
      <c r="E35">
        <v>4</v>
      </c>
      <c r="F35">
        <v>4</v>
      </c>
      <c r="G35" t="s">
        <v>3075</v>
      </c>
    </row>
    <row r="36" spans="1:7">
      <c r="A36" t="s">
        <v>3080</v>
      </c>
      <c r="B36" t="s">
        <v>42</v>
      </c>
      <c r="C36" t="s">
        <v>78</v>
      </c>
      <c r="D36">
        <v>351181</v>
      </c>
      <c r="E36">
        <v>3</v>
      </c>
      <c r="F36">
        <v>1</v>
      </c>
      <c r="G36" t="s">
        <v>3051</v>
      </c>
    </row>
    <row r="37" spans="1:7">
      <c r="A37" t="s">
        <v>3081</v>
      </c>
      <c r="B37" t="s">
        <v>73</v>
      </c>
      <c r="C37" t="s">
        <v>78</v>
      </c>
      <c r="D37">
        <v>157406</v>
      </c>
      <c r="E37">
        <v>9</v>
      </c>
      <c r="F37">
        <v>3</v>
      </c>
      <c r="G37" t="s">
        <v>3063</v>
      </c>
    </row>
    <row r="38" spans="1:7">
      <c r="A38" t="s">
        <v>3082</v>
      </c>
      <c r="B38" t="s">
        <v>23</v>
      </c>
      <c r="C38" t="s">
        <v>14</v>
      </c>
      <c r="D38">
        <v>806774</v>
      </c>
      <c r="E38">
        <v>14</v>
      </c>
      <c r="F38">
        <v>8</v>
      </c>
      <c r="G38" t="s">
        <v>3051</v>
      </c>
    </row>
    <row r="39" spans="1:7">
      <c r="A39" t="s">
        <v>3083</v>
      </c>
      <c r="B39" t="s">
        <v>73</v>
      </c>
      <c r="C39" t="s">
        <v>78</v>
      </c>
      <c r="D39">
        <v>201276</v>
      </c>
      <c r="E39">
        <v>14</v>
      </c>
      <c r="F39">
        <v>4</v>
      </c>
      <c r="G39" t="s">
        <v>3065</v>
      </c>
    </row>
    <row r="40" spans="1:7">
      <c r="A40" t="s">
        <v>3084</v>
      </c>
      <c r="B40" t="s">
        <v>30</v>
      </c>
      <c r="C40" t="s">
        <v>78</v>
      </c>
      <c r="D40">
        <v>53182</v>
      </c>
      <c r="E40">
        <v>6</v>
      </c>
      <c r="F40">
        <v>5</v>
      </c>
      <c r="G40" t="s">
        <v>3085</v>
      </c>
    </row>
    <row r="41" spans="1:7">
      <c r="A41" t="s">
        <v>3086</v>
      </c>
      <c r="B41" t="s">
        <v>73</v>
      </c>
      <c r="C41" t="s">
        <v>14</v>
      </c>
      <c r="D41">
        <v>767791</v>
      </c>
      <c r="E41">
        <v>16</v>
      </c>
      <c r="F41">
        <v>3</v>
      </c>
      <c r="G41" t="s">
        <v>3058</v>
      </c>
    </row>
    <row r="42" spans="1:7">
      <c r="A42" t="s">
        <v>3087</v>
      </c>
      <c r="B42" t="s">
        <v>42</v>
      </c>
      <c r="C42" t="s">
        <v>22</v>
      </c>
      <c r="D42">
        <v>618475</v>
      </c>
      <c r="E42">
        <v>5</v>
      </c>
      <c r="F42">
        <v>7</v>
      </c>
      <c r="G42" t="s">
        <v>3060</v>
      </c>
    </row>
    <row r="43" spans="1:7">
      <c r="A43" t="s">
        <v>3088</v>
      </c>
      <c r="B43" t="s">
        <v>42</v>
      </c>
      <c r="C43" t="s">
        <v>14</v>
      </c>
      <c r="D43">
        <v>481152</v>
      </c>
      <c r="E43">
        <v>18</v>
      </c>
      <c r="F43">
        <v>10</v>
      </c>
      <c r="G43" t="s">
        <v>3045</v>
      </c>
    </row>
    <row r="44" spans="1:7">
      <c r="A44" t="s">
        <v>3089</v>
      </c>
      <c r="B44" t="s">
        <v>30</v>
      </c>
      <c r="C44" t="s">
        <v>14</v>
      </c>
      <c r="D44">
        <v>941235</v>
      </c>
      <c r="E44">
        <v>4</v>
      </c>
      <c r="F44">
        <v>2</v>
      </c>
      <c r="G44" t="s">
        <v>3065</v>
      </c>
    </row>
    <row r="45" spans="1:7">
      <c r="A45" t="s">
        <v>3090</v>
      </c>
      <c r="B45" t="s">
        <v>42</v>
      </c>
      <c r="C45" t="s">
        <v>14</v>
      </c>
      <c r="D45">
        <v>381921</v>
      </c>
      <c r="E45">
        <v>20</v>
      </c>
      <c r="F45">
        <v>4</v>
      </c>
      <c r="G45" t="s">
        <v>3038</v>
      </c>
    </row>
    <row r="46" spans="1:7">
      <c r="A46" t="s">
        <v>3091</v>
      </c>
      <c r="B46" t="s">
        <v>42</v>
      </c>
      <c r="C46" t="s">
        <v>36</v>
      </c>
      <c r="D46">
        <v>540811</v>
      </c>
      <c r="E46">
        <v>2</v>
      </c>
      <c r="F46">
        <v>1</v>
      </c>
      <c r="G46" t="s">
        <v>3075</v>
      </c>
    </row>
    <row r="47" spans="1:7">
      <c r="A47" t="s">
        <v>3092</v>
      </c>
      <c r="B47" t="s">
        <v>15</v>
      </c>
      <c r="C47" t="s">
        <v>22</v>
      </c>
      <c r="D47">
        <v>798283</v>
      </c>
      <c r="E47">
        <v>15</v>
      </c>
      <c r="F47">
        <v>9</v>
      </c>
      <c r="G47" t="s">
        <v>3085</v>
      </c>
    </row>
    <row r="48" spans="1:7">
      <c r="A48" t="s">
        <v>3093</v>
      </c>
      <c r="B48" t="s">
        <v>42</v>
      </c>
      <c r="C48" t="s">
        <v>22</v>
      </c>
      <c r="D48">
        <v>855133</v>
      </c>
      <c r="E48">
        <v>19</v>
      </c>
      <c r="F48">
        <v>3</v>
      </c>
      <c r="G48" t="s">
        <v>3049</v>
      </c>
    </row>
    <row r="49" spans="1:7">
      <c r="A49" t="s">
        <v>3094</v>
      </c>
      <c r="B49" t="s">
        <v>30</v>
      </c>
      <c r="C49" t="s">
        <v>58</v>
      </c>
      <c r="D49">
        <v>720647</v>
      </c>
      <c r="E49">
        <v>10</v>
      </c>
      <c r="F49">
        <v>2</v>
      </c>
      <c r="G49" t="s">
        <v>3054</v>
      </c>
    </row>
    <row r="50" spans="1:7">
      <c r="A50" t="s">
        <v>3095</v>
      </c>
      <c r="B50" t="s">
        <v>23</v>
      </c>
      <c r="C50" t="s">
        <v>58</v>
      </c>
      <c r="D50">
        <v>447867</v>
      </c>
      <c r="E50">
        <v>13</v>
      </c>
      <c r="F50">
        <v>2</v>
      </c>
      <c r="G50" t="s">
        <v>3058</v>
      </c>
    </row>
    <row r="51" spans="1:7">
      <c r="A51" t="s">
        <v>3096</v>
      </c>
      <c r="B51" t="s">
        <v>42</v>
      </c>
      <c r="C51" t="s">
        <v>22</v>
      </c>
      <c r="D51">
        <v>926001</v>
      </c>
      <c r="E51">
        <v>4</v>
      </c>
      <c r="F51">
        <v>6</v>
      </c>
      <c r="G51" t="s">
        <v>3040</v>
      </c>
    </row>
    <row r="52" spans="1:7">
      <c r="A52" t="s">
        <v>3097</v>
      </c>
      <c r="B52" t="s">
        <v>73</v>
      </c>
      <c r="C52" t="s">
        <v>78</v>
      </c>
      <c r="D52">
        <v>513480</v>
      </c>
      <c r="E52">
        <v>9</v>
      </c>
      <c r="F52">
        <v>6</v>
      </c>
      <c r="G52" t="s">
        <v>3051</v>
      </c>
    </row>
    <row r="53" spans="1:7">
      <c r="A53" t="s">
        <v>3098</v>
      </c>
      <c r="B53" t="s">
        <v>73</v>
      </c>
      <c r="C53" t="s">
        <v>36</v>
      </c>
      <c r="D53">
        <v>227284</v>
      </c>
      <c r="E53">
        <v>4</v>
      </c>
      <c r="F53">
        <v>8</v>
      </c>
      <c r="G53" t="s">
        <v>3099</v>
      </c>
    </row>
    <row r="54" spans="1:7">
      <c r="A54" t="s">
        <v>3100</v>
      </c>
      <c r="B54" t="s">
        <v>42</v>
      </c>
      <c r="C54" t="s">
        <v>58</v>
      </c>
      <c r="D54">
        <v>604105</v>
      </c>
      <c r="E54">
        <v>6</v>
      </c>
      <c r="F54">
        <v>9</v>
      </c>
      <c r="G54" t="s">
        <v>3054</v>
      </c>
    </row>
    <row r="55" spans="1:7">
      <c r="A55" t="s">
        <v>3101</v>
      </c>
      <c r="B55" t="s">
        <v>42</v>
      </c>
      <c r="C55" t="s">
        <v>78</v>
      </c>
      <c r="D55">
        <v>737400</v>
      </c>
      <c r="E55">
        <v>14</v>
      </c>
      <c r="F55">
        <v>4</v>
      </c>
      <c r="G55" t="s">
        <v>3060</v>
      </c>
    </row>
    <row r="56" spans="1:7">
      <c r="A56" t="s">
        <v>3102</v>
      </c>
      <c r="B56" t="s">
        <v>73</v>
      </c>
      <c r="C56" t="s">
        <v>14</v>
      </c>
      <c r="D56">
        <v>185884</v>
      </c>
      <c r="E56">
        <v>11</v>
      </c>
      <c r="F56">
        <v>7</v>
      </c>
      <c r="G56" t="s">
        <v>3054</v>
      </c>
    </row>
    <row r="57" spans="1:7">
      <c r="A57" t="s">
        <v>3103</v>
      </c>
      <c r="B57" t="s">
        <v>42</v>
      </c>
      <c r="C57" t="s">
        <v>14</v>
      </c>
      <c r="D57">
        <v>472440</v>
      </c>
      <c r="E57">
        <v>14</v>
      </c>
      <c r="F57">
        <v>7</v>
      </c>
      <c r="G57" t="s">
        <v>3063</v>
      </c>
    </row>
    <row r="58" spans="1:7">
      <c r="A58" t="s">
        <v>3104</v>
      </c>
      <c r="B58" t="s">
        <v>42</v>
      </c>
      <c r="C58" t="s">
        <v>36</v>
      </c>
      <c r="D58">
        <v>575590</v>
      </c>
      <c r="E58">
        <v>5</v>
      </c>
      <c r="F58">
        <v>9</v>
      </c>
      <c r="G58" t="s">
        <v>3045</v>
      </c>
    </row>
    <row r="59" spans="1:7">
      <c r="A59" t="s">
        <v>3105</v>
      </c>
      <c r="B59" t="s">
        <v>30</v>
      </c>
      <c r="C59" t="s">
        <v>14</v>
      </c>
      <c r="D59">
        <v>504698</v>
      </c>
      <c r="E59">
        <v>10</v>
      </c>
      <c r="F59">
        <v>1</v>
      </c>
      <c r="G59" t="s">
        <v>3038</v>
      </c>
    </row>
    <row r="60" spans="1:7">
      <c r="A60" t="s">
        <v>3106</v>
      </c>
      <c r="B60" t="s">
        <v>15</v>
      </c>
      <c r="C60" t="s">
        <v>58</v>
      </c>
      <c r="D60">
        <v>775042</v>
      </c>
      <c r="E60">
        <v>13</v>
      </c>
      <c r="F60">
        <v>7</v>
      </c>
      <c r="G60" t="s">
        <v>3056</v>
      </c>
    </row>
    <row r="61" spans="1:7">
      <c r="A61" t="s">
        <v>3107</v>
      </c>
      <c r="B61" t="s">
        <v>42</v>
      </c>
      <c r="C61" t="s">
        <v>36</v>
      </c>
      <c r="D61">
        <v>808289</v>
      </c>
      <c r="E61">
        <v>18</v>
      </c>
      <c r="F61">
        <v>2</v>
      </c>
      <c r="G61" t="s">
        <v>3032</v>
      </c>
    </row>
    <row r="62" spans="1:7">
      <c r="A62" t="s">
        <v>3108</v>
      </c>
      <c r="B62" t="s">
        <v>42</v>
      </c>
      <c r="C62" t="s">
        <v>78</v>
      </c>
      <c r="D62">
        <v>119714</v>
      </c>
      <c r="E62">
        <v>13</v>
      </c>
      <c r="F62">
        <v>10</v>
      </c>
      <c r="G62" t="s">
        <v>3049</v>
      </c>
    </row>
    <row r="63" spans="1:7">
      <c r="A63" t="s">
        <v>3109</v>
      </c>
      <c r="B63" t="s">
        <v>23</v>
      </c>
      <c r="C63" t="s">
        <v>58</v>
      </c>
      <c r="D63">
        <v>956305</v>
      </c>
      <c r="E63">
        <v>8</v>
      </c>
      <c r="F63">
        <v>2</v>
      </c>
      <c r="G63" t="s">
        <v>3054</v>
      </c>
    </row>
    <row r="64" spans="1:7">
      <c r="A64" t="s">
        <v>3110</v>
      </c>
      <c r="B64" t="s">
        <v>23</v>
      </c>
      <c r="C64" t="s">
        <v>36</v>
      </c>
      <c r="D64">
        <v>531811</v>
      </c>
      <c r="E64">
        <v>11</v>
      </c>
      <c r="F64">
        <v>10</v>
      </c>
      <c r="G64" t="s">
        <v>3045</v>
      </c>
    </row>
    <row r="65" spans="1:7">
      <c r="A65" t="s">
        <v>3111</v>
      </c>
      <c r="B65" t="s">
        <v>42</v>
      </c>
      <c r="C65" t="s">
        <v>78</v>
      </c>
      <c r="D65">
        <v>742978</v>
      </c>
      <c r="E65">
        <v>10</v>
      </c>
      <c r="F65">
        <v>1</v>
      </c>
      <c r="G65" t="s">
        <v>3045</v>
      </c>
    </row>
    <row r="66" spans="1:7">
      <c r="A66" t="s">
        <v>3112</v>
      </c>
      <c r="B66" t="s">
        <v>15</v>
      </c>
      <c r="C66" t="s">
        <v>36</v>
      </c>
      <c r="D66">
        <v>692790</v>
      </c>
      <c r="E66">
        <v>7</v>
      </c>
      <c r="F66">
        <v>3</v>
      </c>
      <c r="G66" t="s">
        <v>3060</v>
      </c>
    </row>
    <row r="67" spans="1:7">
      <c r="A67" t="s">
        <v>3113</v>
      </c>
      <c r="B67" t="s">
        <v>42</v>
      </c>
      <c r="C67" t="s">
        <v>14</v>
      </c>
      <c r="D67">
        <v>864294</v>
      </c>
      <c r="E67">
        <v>7</v>
      </c>
      <c r="F67">
        <v>4</v>
      </c>
      <c r="G67" t="s">
        <v>3056</v>
      </c>
    </row>
    <row r="68" spans="1:7">
      <c r="A68" t="s">
        <v>3114</v>
      </c>
      <c r="B68" t="s">
        <v>15</v>
      </c>
      <c r="C68" t="s">
        <v>58</v>
      </c>
      <c r="D68">
        <v>924087</v>
      </c>
      <c r="E68">
        <v>16</v>
      </c>
      <c r="F68">
        <v>8</v>
      </c>
      <c r="G68" t="s">
        <v>3038</v>
      </c>
    </row>
    <row r="69" spans="1:7">
      <c r="A69" t="s">
        <v>3115</v>
      </c>
      <c r="B69" t="s">
        <v>23</v>
      </c>
      <c r="C69" t="s">
        <v>58</v>
      </c>
      <c r="D69">
        <v>999294</v>
      </c>
      <c r="E69">
        <v>13</v>
      </c>
      <c r="F69">
        <v>10</v>
      </c>
      <c r="G69" t="s">
        <v>3035</v>
      </c>
    </row>
    <row r="70" spans="1:7">
      <c r="A70" t="s">
        <v>3116</v>
      </c>
      <c r="B70" t="s">
        <v>42</v>
      </c>
      <c r="C70" t="s">
        <v>36</v>
      </c>
      <c r="D70">
        <v>218399</v>
      </c>
      <c r="E70">
        <v>10</v>
      </c>
      <c r="F70">
        <v>9</v>
      </c>
      <c r="G70" t="s">
        <v>3063</v>
      </c>
    </row>
    <row r="71" spans="1:7">
      <c r="A71" t="s">
        <v>3117</v>
      </c>
      <c r="B71" t="s">
        <v>15</v>
      </c>
      <c r="C71" t="s">
        <v>78</v>
      </c>
      <c r="D71">
        <v>575335</v>
      </c>
      <c r="E71">
        <v>18</v>
      </c>
      <c r="F71">
        <v>2</v>
      </c>
      <c r="G71" t="s">
        <v>3043</v>
      </c>
    </row>
    <row r="72" spans="1:7">
      <c r="A72" t="s">
        <v>3118</v>
      </c>
      <c r="B72" t="s">
        <v>73</v>
      </c>
      <c r="C72" t="s">
        <v>78</v>
      </c>
      <c r="D72">
        <v>135433</v>
      </c>
      <c r="E72">
        <v>4</v>
      </c>
      <c r="F72">
        <v>5</v>
      </c>
      <c r="G72" t="s">
        <v>3063</v>
      </c>
    </row>
    <row r="73" spans="1:7">
      <c r="A73" t="s">
        <v>3119</v>
      </c>
      <c r="B73" t="s">
        <v>15</v>
      </c>
      <c r="C73" t="s">
        <v>14</v>
      </c>
      <c r="D73">
        <v>257661</v>
      </c>
      <c r="E73">
        <v>15</v>
      </c>
      <c r="F73">
        <v>6</v>
      </c>
      <c r="G73" t="s">
        <v>3038</v>
      </c>
    </row>
    <row r="74" spans="1:7">
      <c r="A74" t="s">
        <v>3120</v>
      </c>
      <c r="B74" t="s">
        <v>30</v>
      </c>
      <c r="C74" t="s">
        <v>58</v>
      </c>
      <c r="D74">
        <v>609044</v>
      </c>
      <c r="E74">
        <v>11</v>
      </c>
      <c r="F74">
        <v>5</v>
      </c>
      <c r="G74" t="s">
        <v>3054</v>
      </c>
    </row>
    <row r="75" spans="1:7">
      <c r="A75" t="s">
        <v>3121</v>
      </c>
      <c r="B75" t="s">
        <v>23</v>
      </c>
      <c r="C75" t="s">
        <v>14</v>
      </c>
      <c r="D75">
        <v>536397</v>
      </c>
      <c r="E75">
        <v>20</v>
      </c>
      <c r="F75">
        <v>6</v>
      </c>
      <c r="G75" t="s">
        <v>3049</v>
      </c>
    </row>
    <row r="76" spans="1:7">
      <c r="A76" t="s">
        <v>3122</v>
      </c>
      <c r="B76" t="s">
        <v>15</v>
      </c>
      <c r="C76" t="s">
        <v>78</v>
      </c>
      <c r="D76">
        <v>318099</v>
      </c>
      <c r="E76">
        <v>5</v>
      </c>
      <c r="F76">
        <v>2</v>
      </c>
      <c r="G76" t="s">
        <v>3032</v>
      </c>
    </row>
    <row r="77" spans="1:7">
      <c r="A77" t="s">
        <v>3123</v>
      </c>
      <c r="B77" t="s">
        <v>30</v>
      </c>
      <c r="C77" t="s">
        <v>36</v>
      </c>
      <c r="D77">
        <v>973362</v>
      </c>
      <c r="E77">
        <v>15</v>
      </c>
      <c r="F77">
        <v>9</v>
      </c>
      <c r="G77" t="s">
        <v>3040</v>
      </c>
    </row>
    <row r="78" spans="1:7">
      <c r="A78" t="s">
        <v>3124</v>
      </c>
      <c r="B78" t="s">
        <v>30</v>
      </c>
      <c r="C78" t="s">
        <v>58</v>
      </c>
      <c r="D78">
        <v>884527</v>
      </c>
      <c r="E78">
        <v>15</v>
      </c>
      <c r="F78">
        <v>2</v>
      </c>
      <c r="G78" t="s">
        <v>3056</v>
      </c>
    </row>
    <row r="79" spans="1:7">
      <c r="A79" t="s">
        <v>3125</v>
      </c>
      <c r="B79" t="s">
        <v>30</v>
      </c>
      <c r="C79" t="s">
        <v>78</v>
      </c>
      <c r="D79">
        <v>314680</v>
      </c>
      <c r="E79">
        <v>15</v>
      </c>
      <c r="F79">
        <v>1</v>
      </c>
      <c r="G79" t="s">
        <v>3063</v>
      </c>
    </row>
    <row r="80" spans="1:7">
      <c r="A80" t="s">
        <v>3126</v>
      </c>
      <c r="B80" t="s">
        <v>30</v>
      </c>
      <c r="C80" t="s">
        <v>78</v>
      </c>
      <c r="D80">
        <v>680742</v>
      </c>
      <c r="E80">
        <v>1</v>
      </c>
      <c r="F80">
        <v>6</v>
      </c>
      <c r="G80" t="s">
        <v>3056</v>
      </c>
    </row>
    <row r="81" spans="1:7">
      <c r="A81" t="s">
        <v>3127</v>
      </c>
      <c r="B81" t="s">
        <v>15</v>
      </c>
      <c r="C81" t="s">
        <v>14</v>
      </c>
      <c r="D81">
        <v>688889</v>
      </c>
      <c r="E81">
        <v>17</v>
      </c>
      <c r="F81">
        <v>6</v>
      </c>
      <c r="G81" t="s">
        <v>3056</v>
      </c>
    </row>
    <row r="82" spans="1:7">
      <c r="A82" t="s">
        <v>3128</v>
      </c>
      <c r="B82" t="s">
        <v>23</v>
      </c>
      <c r="C82" t="s">
        <v>78</v>
      </c>
      <c r="D82">
        <v>429002</v>
      </c>
      <c r="E82">
        <v>2</v>
      </c>
      <c r="F82">
        <v>5</v>
      </c>
      <c r="G82" t="s">
        <v>3040</v>
      </c>
    </row>
    <row r="83" spans="1:7">
      <c r="A83" t="s">
        <v>3129</v>
      </c>
      <c r="B83" t="s">
        <v>30</v>
      </c>
      <c r="C83" t="s">
        <v>14</v>
      </c>
      <c r="D83">
        <v>315903</v>
      </c>
      <c r="E83">
        <v>17</v>
      </c>
      <c r="F83">
        <v>4</v>
      </c>
      <c r="G83" t="s">
        <v>3054</v>
      </c>
    </row>
    <row r="84" spans="1:7">
      <c r="A84" t="s">
        <v>3130</v>
      </c>
      <c r="B84" t="s">
        <v>42</v>
      </c>
      <c r="C84" t="s">
        <v>22</v>
      </c>
      <c r="D84">
        <v>456703</v>
      </c>
      <c r="E84">
        <v>12</v>
      </c>
      <c r="F84">
        <v>10</v>
      </c>
      <c r="G84" t="s">
        <v>3043</v>
      </c>
    </row>
    <row r="85" spans="1:7">
      <c r="A85" t="s">
        <v>3131</v>
      </c>
      <c r="B85" t="s">
        <v>23</v>
      </c>
      <c r="C85" t="s">
        <v>78</v>
      </c>
      <c r="D85">
        <v>816204</v>
      </c>
      <c r="E85">
        <v>5</v>
      </c>
      <c r="F85">
        <v>4</v>
      </c>
      <c r="G85" t="s">
        <v>3049</v>
      </c>
    </row>
    <row r="86" spans="1:7">
      <c r="A86" t="s">
        <v>3132</v>
      </c>
      <c r="B86" t="s">
        <v>15</v>
      </c>
      <c r="C86" t="s">
        <v>58</v>
      </c>
      <c r="D86">
        <v>429653</v>
      </c>
      <c r="E86">
        <v>7</v>
      </c>
      <c r="F86">
        <v>9</v>
      </c>
      <c r="G86" t="s">
        <v>3049</v>
      </c>
    </row>
    <row r="87" spans="1:7">
      <c r="A87" t="s">
        <v>3133</v>
      </c>
      <c r="B87" t="s">
        <v>42</v>
      </c>
      <c r="C87" t="s">
        <v>36</v>
      </c>
      <c r="D87">
        <v>573597</v>
      </c>
      <c r="E87">
        <v>18</v>
      </c>
      <c r="F87">
        <v>3</v>
      </c>
      <c r="G87" t="s">
        <v>3045</v>
      </c>
    </row>
    <row r="88" spans="1:7">
      <c r="A88" t="s">
        <v>3134</v>
      </c>
      <c r="B88" t="s">
        <v>30</v>
      </c>
      <c r="C88" t="s">
        <v>14</v>
      </c>
      <c r="D88">
        <v>547127</v>
      </c>
      <c r="E88">
        <v>17</v>
      </c>
      <c r="F88">
        <v>6</v>
      </c>
      <c r="G88" t="s">
        <v>3032</v>
      </c>
    </row>
    <row r="89" spans="1:7">
      <c r="A89" t="s">
        <v>3135</v>
      </c>
      <c r="B89" t="s">
        <v>73</v>
      </c>
      <c r="C89" t="s">
        <v>78</v>
      </c>
      <c r="D89">
        <v>149693</v>
      </c>
      <c r="E89">
        <v>20</v>
      </c>
      <c r="F89">
        <v>5</v>
      </c>
      <c r="G89" t="s">
        <v>3051</v>
      </c>
    </row>
    <row r="90" spans="1:7">
      <c r="A90" t="s">
        <v>3136</v>
      </c>
      <c r="B90" t="s">
        <v>15</v>
      </c>
      <c r="C90" t="s">
        <v>22</v>
      </c>
      <c r="D90">
        <v>749227</v>
      </c>
      <c r="E90">
        <v>1</v>
      </c>
      <c r="F90">
        <v>2</v>
      </c>
      <c r="G90" t="s">
        <v>3035</v>
      </c>
    </row>
    <row r="91" spans="1:7">
      <c r="A91" t="s">
        <v>3137</v>
      </c>
      <c r="B91" t="s">
        <v>15</v>
      </c>
      <c r="C91" t="s">
        <v>14</v>
      </c>
      <c r="D91">
        <v>153296</v>
      </c>
      <c r="E91">
        <v>16</v>
      </c>
      <c r="F91">
        <v>9</v>
      </c>
      <c r="G91" t="s">
        <v>3045</v>
      </c>
    </row>
    <row r="92" spans="1:7">
      <c r="A92" t="s">
        <v>3138</v>
      </c>
      <c r="B92" t="s">
        <v>73</v>
      </c>
      <c r="C92" t="s">
        <v>22</v>
      </c>
      <c r="D92">
        <v>389903</v>
      </c>
      <c r="E92">
        <v>13</v>
      </c>
      <c r="F92">
        <v>1</v>
      </c>
      <c r="G92" t="s">
        <v>3065</v>
      </c>
    </row>
    <row r="93" spans="1:7">
      <c r="A93" t="s">
        <v>3139</v>
      </c>
      <c r="B93" t="s">
        <v>73</v>
      </c>
      <c r="C93" t="s">
        <v>58</v>
      </c>
      <c r="D93">
        <v>792282</v>
      </c>
      <c r="E93">
        <v>19</v>
      </c>
      <c r="F93">
        <v>5</v>
      </c>
      <c r="G93" t="s">
        <v>3056</v>
      </c>
    </row>
    <row r="94" spans="1:7">
      <c r="A94" t="s">
        <v>3140</v>
      </c>
      <c r="B94" t="s">
        <v>23</v>
      </c>
      <c r="C94" t="s">
        <v>22</v>
      </c>
      <c r="D94">
        <v>966832</v>
      </c>
      <c r="E94">
        <v>8</v>
      </c>
      <c r="F94">
        <v>5</v>
      </c>
      <c r="G94" t="s">
        <v>3058</v>
      </c>
    </row>
    <row r="95" spans="1:7">
      <c r="A95" t="s">
        <v>3141</v>
      </c>
      <c r="B95" t="s">
        <v>15</v>
      </c>
      <c r="C95" t="s">
        <v>36</v>
      </c>
      <c r="D95">
        <v>903798</v>
      </c>
      <c r="E95">
        <v>4</v>
      </c>
      <c r="F95">
        <v>8</v>
      </c>
      <c r="G95" t="s">
        <v>3065</v>
      </c>
    </row>
    <row r="96" spans="1:7">
      <c r="A96" t="s">
        <v>3142</v>
      </c>
      <c r="B96" t="s">
        <v>30</v>
      </c>
      <c r="C96" t="s">
        <v>22</v>
      </c>
      <c r="D96">
        <v>614937</v>
      </c>
      <c r="E96">
        <v>7</v>
      </c>
      <c r="F96">
        <v>5</v>
      </c>
      <c r="G96" t="s">
        <v>3056</v>
      </c>
    </row>
    <row r="97" spans="1:7">
      <c r="A97" t="s">
        <v>3143</v>
      </c>
      <c r="B97" t="s">
        <v>42</v>
      </c>
      <c r="C97" t="s">
        <v>14</v>
      </c>
      <c r="D97">
        <v>398666</v>
      </c>
      <c r="E97">
        <v>8</v>
      </c>
      <c r="F97">
        <v>9</v>
      </c>
      <c r="G97" t="s">
        <v>3099</v>
      </c>
    </row>
    <row r="98" spans="1:7">
      <c r="A98" t="s">
        <v>3144</v>
      </c>
      <c r="B98" t="s">
        <v>30</v>
      </c>
      <c r="C98" t="s">
        <v>78</v>
      </c>
      <c r="D98">
        <v>869826</v>
      </c>
      <c r="E98">
        <v>16</v>
      </c>
      <c r="F98">
        <v>1</v>
      </c>
      <c r="G98" t="s">
        <v>3056</v>
      </c>
    </row>
    <row r="99" spans="1:7">
      <c r="A99" t="s">
        <v>3145</v>
      </c>
      <c r="B99" t="s">
        <v>30</v>
      </c>
      <c r="C99" t="s">
        <v>22</v>
      </c>
      <c r="D99">
        <v>147215</v>
      </c>
      <c r="E99">
        <v>9</v>
      </c>
      <c r="F99">
        <v>3</v>
      </c>
      <c r="G99" t="s">
        <v>3032</v>
      </c>
    </row>
    <row r="100" spans="1:7">
      <c r="A100" t="s">
        <v>3146</v>
      </c>
      <c r="B100" t="s">
        <v>30</v>
      </c>
      <c r="C100" t="s">
        <v>22</v>
      </c>
      <c r="D100">
        <v>755126</v>
      </c>
      <c r="E100">
        <v>19</v>
      </c>
      <c r="F100">
        <v>9</v>
      </c>
      <c r="G100" t="s">
        <v>3032</v>
      </c>
    </row>
    <row r="101" spans="1:7">
      <c r="A101" t="s">
        <v>3147</v>
      </c>
      <c r="B101" t="s">
        <v>42</v>
      </c>
      <c r="C101" t="s">
        <v>14</v>
      </c>
      <c r="D101">
        <v>141402</v>
      </c>
      <c r="E101">
        <v>4</v>
      </c>
      <c r="F101">
        <v>10</v>
      </c>
      <c r="G101" t="s">
        <v>3038</v>
      </c>
    </row>
    <row r="102" spans="1:7">
      <c r="A102" t="s">
        <v>3148</v>
      </c>
      <c r="B102" t="s">
        <v>42</v>
      </c>
      <c r="C102" t="s">
        <v>22</v>
      </c>
      <c r="D102">
        <v>371625</v>
      </c>
      <c r="E102">
        <v>19</v>
      </c>
      <c r="F102">
        <v>2</v>
      </c>
      <c r="G102" t="s">
        <v>3075</v>
      </c>
    </row>
    <row r="103" spans="1:7">
      <c r="A103" t="s">
        <v>3149</v>
      </c>
      <c r="B103" t="s">
        <v>42</v>
      </c>
      <c r="C103" t="s">
        <v>36</v>
      </c>
      <c r="D103">
        <v>690591</v>
      </c>
      <c r="E103">
        <v>19</v>
      </c>
      <c r="F103">
        <v>9</v>
      </c>
      <c r="G103" t="s">
        <v>3054</v>
      </c>
    </row>
    <row r="104" spans="1:7">
      <c r="A104" t="s">
        <v>3150</v>
      </c>
      <c r="B104" t="s">
        <v>23</v>
      </c>
      <c r="C104" t="s">
        <v>36</v>
      </c>
      <c r="D104">
        <v>372047</v>
      </c>
      <c r="E104">
        <v>9</v>
      </c>
      <c r="F104">
        <v>4</v>
      </c>
      <c r="G104" t="s">
        <v>3075</v>
      </c>
    </row>
    <row r="105" spans="1:7">
      <c r="A105" t="s">
        <v>3151</v>
      </c>
      <c r="B105" t="s">
        <v>73</v>
      </c>
      <c r="C105" t="s">
        <v>36</v>
      </c>
      <c r="D105">
        <v>284618</v>
      </c>
      <c r="E105">
        <v>18</v>
      </c>
      <c r="F105">
        <v>10</v>
      </c>
      <c r="G105" t="s">
        <v>3099</v>
      </c>
    </row>
    <row r="106" spans="1:7">
      <c r="A106" t="s">
        <v>3152</v>
      </c>
      <c r="B106" t="s">
        <v>42</v>
      </c>
      <c r="C106" t="s">
        <v>22</v>
      </c>
      <c r="D106">
        <v>620388</v>
      </c>
      <c r="E106">
        <v>12</v>
      </c>
      <c r="F106">
        <v>3</v>
      </c>
      <c r="G106" t="s">
        <v>3056</v>
      </c>
    </row>
    <row r="107" spans="1:7">
      <c r="A107" t="s">
        <v>3153</v>
      </c>
      <c r="B107" t="s">
        <v>30</v>
      </c>
      <c r="C107" t="s">
        <v>78</v>
      </c>
      <c r="D107">
        <v>552979</v>
      </c>
      <c r="E107">
        <v>12</v>
      </c>
      <c r="F107">
        <v>7</v>
      </c>
      <c r="G107" t="s">
        <v>3075</v>
      </c>
    </row>
    <row r="108" spans="1:7">
      <c r="A108" t="s">
        <v>3154</v>
      </c>
      <c r="B108" t="s">
        <v>30</v>
      </c>
      <c r="C108" t="s">
        <v>78</v>
      </c>
      <c r="D108">
        <v>426739</v>
      </c>
      <c r="E108">
        <v>11</v>
      </c>
      <c r="F108">
        <v>1</v>
      </c>
      <c r="G108" t="s">
        <v>3035</v>
      </c>
    </row>
    <row r="109" spans="1:7">
      <c r="A109" t="s">
        <v>3155</v>
      </c>
      <c r="B109" t="s">
        <v>15</v>
      </c>
      <c r="C109" t="s">
        <v>58</v>
      </c>
      <c r="D109">
        <v>960002</v>
      </c>
      <c r="E109">
        <v>6</v>
      </c>
      <c r="F109">
        <v>6</v>
      </c>
      <c r="G109" t="s">
        <v>3035</v>
      </c>
    </row>
    <row r="110" spans="1:7">
      <c r="A110" t="s">
        <v>3156</v>
      </c>
      <c r="B110" t="s">
        <v>73</v>
      </c>
      <c r="C110" t="s">
        <v>22</v>
      </c>
      <c r="D110">
        <v>370361</v>
      </c>
      <c r="E110">
        <v>4</v>
      </c>
      <c r="F110">
        <v>8</v>
      </c>
      <c r="G110" t="s">
        <v>3051</v>
      </c>
    </row>
    <row r="111" spans="1:7">
      <c r="A111" t="s">
        <v>3157</v>
      </c>
      <c r="B111" t="s">
        <v>23</v>
      </c>
      <c r="C111" t="s">
        <v>58</v>
      </c>
      <c r="D111">
        <v>657715</v>
      </c>
      <c r="E111">
        <v>2</v>
      </c>
      <c r="F111">
        <v>6</v>
      </c>
      <c r="G111" t="s">
        <v>3063</v>
      </c>
    </row>
    <row r="112" spans="1:7">
      <c r="A112" t="s">
        <v>3158</v>
      </c>
      <c r="B112" t="s">
        <v>42</v>
      </c>
      <c r="C112" t="s">
        <v>36</v>
      </c>
      <c r="D112">
        <v>597332</v>
      </c>
      <c r="E112">
        <v>20</v>
      </c>
      <c r="F112">
        <v>8</v>
      </c>
      <c r="G112" t="s">
        <v>3058</v>
      </c>
    </row>
    <row r="113" spans="1:7">
      <c r="A113" t="s">
        <v>3159</v>
      </c>
      <c r="B113" t="s">
        <v>23</v>
      </c>
      <c r="C113" t="s">
        <v>36</v>
      </c>
      <c r="D113">
        <v>793149</v>
      </c>
      <c r="E113">
        <v>15</v>
      </c>
      <c r="F113">
        <v>3</v>
      </c>
      <c r="G113" t="s">
        <v>3063</v>
      </c>
    </row>
    <row r="114" spans="1:7">
      <c r="A114" t="s">
        <v>3160</v>
      </c>
      <c r="B114" t="s">
        <v>42</v>
      </c>
      <c r="C114" t="s">
        <v>78</v>
      </c>
      <c r="D114">
        <v>291221</v>
      </c>
      <c r="E114">
        <v>16</v>
      </c>
      <c r="F114">
        <v>2</v>
      </c>
      <c r="G114" t="s">
        <v>3040</v>
      </c>
    </row>
    <row r="115" spans="1:7">
      <c r="A115" t="s">
        <v>3161</v>
      </c>
      <c r="B115" t="s">
        <v>42</v>
      </c>
      <c r="C115" t="s">
        <v>58</v>
      </c>
      <c r="D115">
        <v>439222</v>
      </c>
      <c r="E115">
        <v>9</v>
      </c>
      <c r="F115">
        <v>3</v>
      </c>
      <c r="G115" t="s">
        <v>3056</v>
      </c>
    </row>
    <row r="116" spans="1:7">
      <c r="A116" t="s">
        <v>3162</v>
      </c>
      <c r="B116" t="s">
        <v>15</v>
      </c>
      <c r="C116" t="s">
        <v>14</v>
      </c>
      <c r="D116">
        <v>518612</v>
      </c>
      <c r="E116">
        <v>10</v>
      </c>
      <c r="F116">
        <v>1</v>
      </c>
      <c r="G116" t="s">
        <v>3045</v>
      </c>
    </row>
    <row r="117" spans="1:7">
      <c r="A117" t="s">
        <v>3163</v>
      </c>
      <c r="B117" t="s">
        <v>42</v>
      </c>
      <c r="C117" t="s">
        <v>22</v>
      </c>
      <c r="D117">
        <v>884666</v>
      </c>
      <c r="E117">
        <v>6</v>
      </c>
      <c r="F117">
        <v>5</v>
      </c>
      <c r="G117" t="s">
        <v>3032</v>
      </c>
    </row>
    <row r="118" spans="1:7">
      <c r="A118" t="s">
        <v>3164</v>
      </c>
      <c r="B118" t="s">
        <v>42</v>
      </c>
      <c r="C118" t="s">
        <v>36</v>
      </c>
      <c r="D118">
        <v>727372</v>
      </c>
      <c r="E118">
        <v>17</v>
      </c>
      <c r="F118">
        <v>7</v>
      </c>
      <c r="G118" t="s">
        <v>3051</v>
      </c>
    </row>
    <row r="119" spans="1:7">
      <c r="A119" t="s">
        <v>3165</v>
      </c>
      <c r="B119" t="s">
        <v>73</v>
      </c>
      <c r="C119" t="s">
        <v>78</v>
      </c>
      <c r="D119">
        <v>473172</v>
      </c>
      <c r="E119">
        <v>1</v>
      </c>
      <c r="F119">
        <v>3</v>
      </c>
      <c r="G119" t="s">
        <v>3040</v>
      </c>
    </row>
    <row r="120" spans="1:7">
      <c r="A120" t="s">
        <v>3166</v>
      </c>
      <c r="B120" t="s">
        <v>30</v>
      </c>
      <c r="C120" t="s">
        <v>14</v>
      </c>
      <c r="D120">
        <v>459246</v>
      </c>
      <c r="E120">
        <v>1</v>
      </c>
      <c r="F120">
        <v>3</v>
      </c>
      <c r="G120" t="s">
        <v>3051</v>
      </c>
    </row>
    <row r="121" spans="1:7">
      <c r="A121" t="s">
        <v>3167</v>
      </c>
      <c r="B121" t="s">
        <v>42</v>
      </c>
      <c r="C121" t="s">
        <v>14</v>
      </c>
      <c r="D121">
        <v>697563</v>
      </c>
      <c r="E121">
        <v>11</v>
      </c>
      <c r="F121">
        <v>1</v>
      </c>
      <c r="G121" t="s">
        <v>3032</v>
      </c>
    </row>
    <row r="122" spans="1:7">
      <c r="A122" t="s">
        <v>3168</v>
      </c>
      <c r="B122" t="s">
        <v>73</v>
      </c>
      <c r="C122" t="s">
        <v>22</v>
      </c>
      <c r="D122">
        <v>991472</v>
      </c>
      <c r="E122">
        <v>5</v>
      </c>
      <c r="F122">
        <v>7</v>
      </c>
      <c r="G122" t="s">
        <v>3056</v>
      </c>
    </row>
    <row r="123" spans="1:7">
      <c r="A123" t="s">
        <v>3169</v>
      </c>
      <c r="B123" t="s">
        <v>15</v>
      </c>
      <c r="C123" t="s">
        <v>58</v>
      </c>
      <c r="D123">
        <v>560490</v>
      </c>
      <c r="E123">
        <v>5</v>
      </c>
      <c r="F123">
        <v>3</v>
      </c>
      <c r="G123" t="s">
        <v>3063</v>
      </c>
    </row>
    <row r="124" spans="1:7">
      <c r="A124" t="s">
        <v>3170</v>
      </c>
      <c r="B124" t="s">
        <v>73</v>
      </c>
      <c r="C124" t="s">
        <v>36</v>
      </c>
      <c r="D124">
        <v>610553</v>
      </c>
      <c r="E124">
        <v>11</v>
      </c>
      <c r="F124">
        <v>7</v>
      </c>
      <c r="G124" t="s">
        <v>3065</v>
      </c>
    </row>
    <row r="125" spans="1:7">
      <c r="A125" t="s">
        <v>3171</v>
      </c>
      <c r="B125" t="s">
        <v>73</v>
      </c>
      <c r="C125" t="s">
        <v>58</v>
      </c>
      <c r="D125">
        <v>930142</v>
      </c>
      <c r="E125">
        <v>1</v>
      </c>
      <c r="F125">
        <v>6</v>
      </c>
      <c r="G125" t="s">
        <v>3099</v>
      </c>
    </row>
    <row r="126" spans="1:7">
      <c r="A126" t="s">
        <v>3172</v>
      </c>
      <c r="B126" t="s">
        <v>73</v>
      </c>
      <c r="C126" t="s">
        <v>78</v>
      </c>
      <c r="D126">
        <v>767950</v>
      </c>
      <c r="E126">
        <v>15</v>
      </c>
      <c r="F126">
        <v>4</v>
      </c>
      <c r="G126" t="s">
        <v>3049</v>
      </c>
    </row>
    <row r="127" spans="1:7">
      <c r="A127" t="s">
        <v>3173</v>
      </c>
      <c r="B127" t="s">
        <v>30</v>
      </c>
      <c r="C127" t="s">
        <v>22</v>
      </c>
      <c r="D127">
        <v>378774</v>
      </c>
      <c r="E127">
        <v>3</v>
      </c>
      <c r="F127">
        <v>3</v>
      </c>
      <c r="G127" t="s">
        <v>3099</v>
      </c>
    </row>
    <row r="128" spans="1:7">
      <c r="A128" t="s">
        <v>3174</v>
      </c>
      <c r="B128" t="s">
        <v>42</v>
      </c>
      <c r="C128" t="s">
        <v>78</v>
      </c>
      <c r="D128">
        <v>118408</v>
      </c>
      <c r="E128">
        <v>8</v>
      </c>
      <c r="F128">
        <v>10</v>
      </c>
      <c r="G128" t="s">
        <v>3049</v>
      </c>
    </row>
    <row r="129" spans="1:7">
      <c r="A129" t="s">
        <v>3175</v>
      </c>
      <c r="B129" t="s">
        <v>23</v>
      </c>
      <c r="C129" t="s">
        <v>58</v>
      </c>
      <c r="D129">
        <v>533943</v>
      </c>
      <c r="E129">
        <v>1</v>
      </c>
      <c r="F129">
        <v>10</v>
      </c>
      <c r="G129" t="s">
        <v>3063</v>
      </c>
    </row>
    <row r="130" spans="1:7">
      <c r="A130" t="s">
        <v>3176</v>
      </c>
      <c r="B130" t="s">
        <v>23</v>
      </c>
      <c r="C130" t="s">
        <v>36</v>
      </c>
      <c r="D130">
        <v>118789</v>
      </c>
      <c r="E130">
        <v>2</v>
      </c>
      <c r="F130">
        <v>10</v>
      </c>
      <c r="G130" t="s">
        <v>3051</v>
      </c>
    </row>
    <row r="131" spans="1:7">
      <c r="A131" t="s">
        <v>3177</v>
      </c>
      <c r="B131" t="s">
        <v>30</v>
      </c>
      <c r="C131" t="s">
        <v>22</v>
      </c>
      <c r="D131">
        <v>601435</v>
      </c>
      <c r="E131">
        <v>4</v>
      </c>
      <c r="F131">
        <v>2</v>
      </c>
      <c r="G131" t="s">
        <v>3058</v>
      </c>
    </row>
    <row r="132" spans="1:7">
      <c r="A132" t="s">
        <v>3178</v>
      </c>
      <c r="B132" t="s">
        <v>73</v>
      </c>
      <c r="C132" t="s">
        <v>14</v>
      </c>
      <c r="D132">
        <v>170656</v>
      </c>
      <c r="E132">
        <v>5</v>
      </c>
      <c r="F132">
        <v>10</v>
      </c>
      <c r="G132" t="s">
        <v>3045</v>
      </c>
    </row>
    <row r="133" spans="1:7">
      <c r="A133" t="s">
        <v>3179</v>
      </c>
      <c r="B133" t="s">
        <v>73</v>
      </c>
      <c r="C133" t="s">
        <v>78</v>
      </c>
      <c r="D133">
        <v>964323</v>
      </c>
      <c r="E133">
        <v>14</v>
      </c>
      <c r="F133">
        <v>4</v>
      </c>
      <c r="G133" t="s">
        <v>3058</v>
      </c>
    </row>
    <row r="134" spans="1:7">
      <c r="A134" t="s">
        <v>3180</v>
      </c>
      <c r="B134" t="s">
        <v>23</v>
      </c>
      <c r="C134" t="s">
        <v>36</v>
      </c>
      <c r="D134">
        <v>843411</v>
      </c>
      <c r="E134">
        <v>6</v>
      </c>
      <c r="F134">
        <v>1</v>
      </c>
      <c r="G134" t="s">
        <v>3051</v>
      </c>
    </row>
    <row r="135" spans="1:7">
      <c r="A135" t="s">
        <v>3181</v>
      </c>
      <c r="B135" t="s">
        <v>23</v>
      </c>
      <c r="C135" t="s">
        <v>22</v>
      </c>
      <c r="D135">
        <v>623546</v>
      </c>
      <c r="E135">
        <v>20</v>
      </c>
      <c r="F135">
        <v>9</v>
      </c>
      <c r="G135" t="s">
        <v>3085</v>
      </c>
    </row>
    <row r="136" spans="1:7">
      <c r="A136" t="s">
        <v>3182</v>
      </c>
      <c r="B136" t="s">
        <v>42</v>
      </c>
      <c r="C136" t="s">
        <v>36</v>
      </c>
      <c r="D136">
        <v>958032</v>
      </c>
      <c r="E136">
        <v>19</v>
      </c>
      <c r="F136">
        <v>8</v>
      </c>
      <c r="G136" t="s">
        <v>3075</v>
      </c>
    </row>
    <row r="137" spans="1:7">
      <c r="A137" t="s">
        <v>3183</v>
      </c>
      <c r="B137" t="s">
        <v>73</v>
      </c>
      <c r="C137" t="s">
        <v>14</v>
      </c>
      <c r="D137">
        <v>789342</v>
      </c>
      <c r="E137">
        <v>12</v>
      </c>
      <c r="F137">
        <v>7</v>
      </c>
      <c r="G137" t="s">
        <v>3075</v>
      </c>
    </row>
    <row r="138" spans="1:7">
      <c r="A138" t="s">
        <v>3184</v>
      </c>
      <c r="B138" t="s">
        <v>30</v>
      </c>
      <c r="C138" t="s">
        <v>78</v>
      </c>
      <c r="D138">
        <v>820206</v>
      </c>
      <c r="E138">
        <v>17</v>
      </c>
      <c r="F138">
        <v>3</v>
      </c>
      <c r="G138" t="s">
        <v>3085</v>
      </c>
    </row>
    <row r="139" spans="1:7">
      <c r="A139" t="s">
        <v>3185</v>
      </c>
      <c r="B139" t="s">
        <v>23</v>
      </c>
      <c r="C139" t="s">
        <v>36</v>
      </c>
      <c r="D139">
        <v>440860</v>
      </c>
      <c r="E139">
        <v>20</v>
      </c>
      <c r="F139">
        <v>8</v>
      </c>
      <c r="G139" t="s">
        <v>3049</v>
      </c>
    </row>
    <row r="140" spans="1:7">
      <c r="A140" t="s">
        <v>3186</v>
      </c>
      <c r="B140" t="s">
        <v>42</v>
      </c>
      <c r="C140" t="s">
        <v>22</v>
      </c>
      <c r="D140">
        <v>53617</v>
      </c>
      <c r="E140">
        <v>16</v>
      </c>
      <c r="F140">
        <v>8</v>
      </c>
      <c r="G140" t="s">
        <v>3085</v>
      </c>
    </row>
    <row r="141" spans="1:7">
      <c r="A141" t="s">
        <v>3187</v>
      </c>
      <c r="B141" t="s">
        <v>15</v>
      </c>
      <c r="C141" t="s">
        <v>22</v>
      </c>
      <c r="D141">
        <v>490186</v>
      </c>
      <c r="E141">
        <v>4</v>
      </c>
      <c r="F141">
        <v>1</v>
      </c>
      <c r="G141" t="s">
        <v>3045</v>
      </c>
    </row>
    <row r="142" spans="1:7">
      <c r="A142" t="s">
        <v>3188</v>
      </c>
      <c r="B142" t="s">
        <v>42</v>
      </c>
      <c r="C142" t="s">
        <v>22</v>
      </c>
      <c r="D142">
        <v>558667</v>
      </c>
      <c r="E142">
        <v>8</v>
      </c>
      <c r="F142">
        <v>10</v>
      </c>
      <c r="G142" t="s">
        <v>3038</v>
      </c>
    </row>
    <row r="143" spans="1:7">
      <c r="A143" t="s">
        <v>3189</v>
      </c>
      <c r="B143" t="s">
        <v>23</v>
      </c>
      <c r="C143" t="s">
        <v>14</v>
      </c>
      <c r="D143">
        <v>961357</v>
      </c>
      <c r="E143">
        <v>9</v>
      </c>
      <c r="F143">
        <v>2</v>
      </c>
      <c r="G143" t="s">
        <v>3051</v>
      </c>
    </row>
    <row r="144" spans="1:7">
      <c r="A144" t="s">
        <v>3190</v>
      </c>
      <c r="B144" t="s">
        <v>73</v>
      </c>
      <c r="C144" t="s">
        <v>36</v>
      </c>
      <c r="D144">
        <v>480162</v>
      </c>
      <c r="E144">
        <v>14</v>
      </c>
      <c r="F144">
        <v>4</v>
      </c>
      <c r="G144" t="s">
        <v>3060</v>
      </c>
    </row>
    <row r="145" spans="1:7">
      <c r="A145" t="s">
        <v>3191</v>
      </c>
      <c r="B145" t="s">
        <v>15</v>
      </c>
      <c r="C145" t="s">
        <v>14</v>
      </c>
      <c r="D145">
        <v>859969</v>
      </c>
      <c r="E145">
        <v>2</v>
      </c>
      <c r="F145">
        <v>2</v>
      </c>
      <c r="G145" t="s">
        <v>3045</v>
      </c>
    </row>
    <row r="146" spans="1:7">
      <c r="A146" t="s">
        <v>3192</v>
      </c>
      <c r="B146" t="s">
        <v>73</v>
      </c>
      <c r="C146" t="s">
        <v>78</v>
      </c>
      <c r="D146">
        <v>555683</v>
      </c>
      <c r="E146">
        <v>20</v>
      </c>
      <c r="F146">
        <v>5</v>
      </c>
      <c r="G146" t="s">
        <v>3049</v>
      </c>
    </row>
    <row r="147" spans="1:7">
      <c r="A147" t="s">
        <v>3193</v>
      </c>
      <c r="B147" t="s">
        <v>15</v>
      </c>
      <c r="C147" t="s">
        <v>22</v>
      </c>
      <c r="D147">
        <v>682923</v>
      </c>
      <c r="E147">
        <v>12</v>
      </c>
      <c r="F147">
        <v>6</v>
      </c>
      <c r="G147" t="s">
        <v>3051</v>
      </c>
    </row>
    <row r="148" spans="1:7">
      <c r="A148" t="s">
        <v>3194</v>
      </c>
      <c r="B148" t="s">
        <v>73</v>
      </c>
      <c r="C148" t="s">
        <v>58</v>
      </c>
      <c r="D148">
        <v>259537</v>
      </c>
      <c r="E148">
        <v>11</v>
      </c>
      <c r="F148">
        <v>4</v>
      </c>
      <c r="G148" t="s">
        <v>3099</v>
      </c>
    </row>
    <row r="149" spans="1:7">
      <c r="A149" t="s">
        <v>3195</v>
      </c>
      <c r="B149" t="s">
        <v>23</v>
      </c>
      <c r="C149" t="s">
        <v>58</v>
      </c>
      <c r="D149">
        <v>217602</v>
      </c>
      <c r="E149">
        <v>4</v>
      </c>
      <c r="F149">
        <v>7</v>
      </c>
      <c r="G149" t="s">
        <v>3040</v>
      </c>
    </row>
    <row r="150" spans="1:7">
      <c r="A150" t="s">
        <v>3196</v>
      </c>
      <c r="B150" t="s">
        <v>30</v>
      </c>
      <c r="C150" t="s">
        <v>14</v>
      </c>
      <c r="D150">
        <v>773976</v>
      </c>
      <c r="E150">
        <v>8</v>
      </c>
      <c r="F150">
        <v>3</v>
      </c>
      <c r="G150" t="s">
        <v>3035</v>
      </c>
    </row>
    <row r="151" spans="1:7">
      <c r="A151" t="s">
        <v>3197</v>
      </c>
      <c r="B151" t="s">
        <v>42</v>
      </c>
      <c r="C151" t="s">
        <v>14</v>
      </c>
      <c r="D151">
        <v>998548</v>
      </c>
      <c r="E151">
        <v>15</v>
      </c>
      <c r="F151">
        <v>1</v>
      </c>
      <c r="G151" t="s">
        <v>3065</v>
      </c>
    </row>
    <row r="152" spans="1:7">
      <c r="A152" t="s">
        <v>3198</v>
      </c>
      <c r="B152" t="s">
        <v>30</v>
      </c>
      <c r="C152" t="s">
        <v>36</v>
      </c>
      <c r="D152">
        <v>418299</v>
      </c>
      <c r="E152">
        <v>13</v>
      </c>
      <c r="F152">
        <v>4</v>
      </c>
      <c r="G152" t="s">
        <v>3054</v>
      </c>
    </row>
    <row r="153" spans="1:7">
      <c r="A153" t="s">
        <v>3199</v>
      </c>
      <c r="B153" t="s">
        <v>23</v>
      </c>
      <c r="C153" t="s">
        <v>78</v>
      </c>
      <c r="D153">
        <v>260283</v>
      </c>
      <c r="E153">
        <v>15</v>
      </c>
      <c r="F153">
        <v>8</v>
      </c>
      <c r="G153" t="s">
        <v>3058</v>
      </c>
    </row>
    <row r="154" spans="1:7">
      <c r="A154" t="s">
        <v>3200</v>
      </c>
      <c r="B154" t="s">
        <v>30</v>
      </c>
      <c r="C154" t="s">
        <v>36</v>
      </c>
      <c r="D154">
        <v>451033</v>
      </c>
      <c r="E154">
        <v>19</v>
      </c>
      <c r="F154">
        <v>2</v>
      </c>
      <c r="G154" t="s">
        <v>3060</v>
      </c>
    </row>
    <row r="155" spans="1:7">
      <c r="A155" t="s">
        <v>3201</v>
      </c>
      <c r="B155" t="s">
        <v>73</v>
      </c>
      <c r="C155" t="s">
        <v>36</v>
      </c>
      <c r="D155">
        <v>742012</v>
      </c>
      <c r="E155">
        <v>9</v>
      </c>
      <c r="F155">
        <v>5</v>
      </c>
      <c r="G155" t="s">
        <v>3049</v>
      </c>
    </row>
    <row r="156" spans="1:7">
      <c r="A156" t="s">
        <v>3202</v>
      </c>
      <c r="B156" t="s">
        <v>73</v>
      </c>
      <c r="C156" t="s">
        <v>78</v>
      </c>
      <c r="D156">
        <v>65267</v>
      </c>
      <c r="E156">
        <v>10</v>
      </c>
      <c r="F156">
        <v>1</v>
      </c>
      <c r="G156" t="s">
        <v>3035</v>
      </c>
    </row>
    <row r="157" spans="1:7">
      <c r="A157" t="s">
        <v>3203</v>
      </c>
      <c r="B157" t="s">
        <v>73</v>
      </c>
      <c r="C157" t="s">
        <v>14</v>
      </c>
      <c r="D157">
        <v>140962</v>
      </c>
      <c r="E157">
        <v>3</v>
      </c>
      <c r="F157">
        <v>7</v>
      </c>
      <c r="G157" t="s">
        <v>3038</v>
      </c>
    </row>
    <row r="158" spans="1:7">
      <c r="A158" t="s">
        <v>3204</v>
      </c>
      <c r="B158" t="s">
        <v>15</v>
      </c>
      <c r="C158" t="s">
        <v>22</v>
      </c>
      <c r="D158">
        <v>687718</v>
      </c>
      <c r="E158">
        <v>6</v>
      </c>
      <c r="F158">
        <v>9</v>
      </c>
      <c r="G158" t="s">
        <v>3049</v>
      </c>
    </row>
    <row r="159" spans="1:7">
      <c r="A159" t="s">
        <v>3205</v>
      </c>
      <c r="B159" t="s">
        <v>23</v>
      </c>
      <c r="C159" t="s">
        <v>22</v>
      </c>
      <c r="D159">
        <v>746985</v>
      </c>
      <c r="E159">
        <v>14</v>
      </c>
      <c r="F159">
        <v>3</v>
      </c>
      <c r="G159" t="s">
        <v>3045</v>
      </c>
    </row>
    <row r="160" spans="1:7">
      <c r="A160" t="s">
        <v>3206</v>
      </c>
      <c r="B160" t="s">
        <v>42</v>
      </c>
      <c r="C160" t="s">
        <v>58</v>
      </c>
      <c r="D160">
        <v>966529</v>
      </c>
      <c r="E160">
        <v>10</v>
      </c>
      <c r="F160">
        <v>1</v>
      </c>
      <c r="G160" t="s">
        <v>3045</v>
      </c>
    </row>
    <row r="161" spans="1:7">
      <c r="A161" t="s">
        <v>3207</v>
      </c>
      <c r="B161" t="s">
        <v>42</v>
      </c>
      <c r="C161" t="s">
        <v>22</v>
      </c>
      <c r="D161">
        <v>545591</v>
      </c>
      <c r="E161">
        <v>9</v>
      </c>
      <c r="F161">
        <v>9</v>
      </c>
      <c r="G161" t="s">
        <v>3040</v>
      </c>
    </row>
    <row r="162" spans="1:7">
      <c r="A162" t="s">
        <v>3208</v>
      </c>
      <c r="B162" t="s">
        <v>15</v>
      </c>
      <c r="C162" t="s">
        <v>14</v>
      </c>
      <c r="D162">
        <v>962483</v>
      </c>
      <c r="E162">
        <v>5</v>
      </c>
      <c r="F162">
        <v>3</v>
      </c>
      <c r="G162" t="s">
        <v>3065</v>
      </c>
    </row>
    <row r="163" spans="1:7">
      <c r="A163" t="s">
        <v>3209</v>
      </c>
      <c r="B163" t="s">
        <v>42</v>
      </c>
      <c r="C163" t="s">
        <v>14</v>
      </c>
      <c r="D163">
        <v>555814</v>
      </c>
      <c r="E163">
        <v>15</v>
      </c>
      <c r="F163">
        <v>2</v>
      </c>
      <c r="G163" t="s">
        <v>3058</v>
      </c>
    </row>
    <row r="164" spans="1:7">
      <c r="A164" t="s">
        <v>3210</v>
      </c>
      <c r="B164" t="s">
        <v>73</v>
      </c>
      <c r="C164" t="s">
        <v>36</v>
      </c>
      <c r="D164">
        <v>756544</v>
      </c>
      <c r="E164">
        <v>16</v>
      </c>
      <c r="F164">
        <v>4</v>
      </c>
      <c r="G164" t="s">
        <v>3051</v>
      </c>
    </row>
    <row r="165" spans="1:7">
      <c r="A165" t="s">
        <v>3211</v>
      </c>
      <c r="B165" t="s">
        <v>42</v>
      </c>
      <c r="C165" t="s">
        <v>78</v>
      </c>
      <c r="D165">
        <v>380733</v>
      </c>
      <c r="E165">
        <v>3</v>
      </c>
      <c r="F165">
        <v>10</v>
      </c>
      <c r="G165" t="s">
        <v>3056</v>
      </c>
    </row>
    <row r="166" spans="1:7">
      <c r="A166" t="s">
        <v>3212</v>
      </c>
      <c r="B166" t="s">
        <v>23</v>
      </c>
      <c r="C166" t="s">
        <v>14</v>
      </c>
      <c r="D166">
        <v>598304</v>
      </c>
      <c r="E166">
        <v>19</v>
      </c>
      <c r="F166">
        <v>8</v>
      </c>
      <c r="G166" t="s">
        <v>3058</v>
      </c>
    </row>
    <row r="167" spans="1:7">
      <c r="A167" t="s">
        <v>3213</v>
      </c>
      <c r="B167" t="s">
        <v>42</v>
      </c>
      <c r="C167" t="s">
        <v>14</v>
      </c>
      <c r="D167">
        <v>951949</v>
      </c>
      <c r="E167">
        <v>14</v>
      </c>
      <c r="F167">
        <v>6</v>
      </c>
      <c r="G167" t="s">
        <v>3032</v>
      </c>
    </row>
    <row r="168" spans="1:7">
      <c r="A168" t="s">
        <v>3214</v>
      </c>
      <c r="B168" t="s">
        <v>15</v>
      </c>
      <c r="C168" t="s">
        <v>22</v>
      </c>
      <c r="D168">
        <v>510811</v>
      </c>
      <c r="E168">
        <v>3</v>
      </c>
      <c r="F168">
        <v>2</v>
      </c>
      <c r="G168" t="s">
        <v>3099</v>
      </c>
    </row>
    <row r="169" spans="1:7">
      <c r="A169" t="s">
        <v>3215</v>
      </c>
      <c r="B169" t="s">
        <v>42</v>
      </c>
      <c r="C169" t="s">
        <v>78</v>
      </c>
      <c r="D169">
        <v>360650</v>
      </c>
      <c r="E169">
        <v>15</v>
      </c>
      <c r="F169">
        <v>3</v>
      </c>
      <c r="G169" t="s">
        <v>3063</v>
      </c>
    </row>
    <row r="170" spans="1:7">
      <c r="A170" t="s">
        <v>3216</v>
      </c>
      <c r="B170" t="s">
        <v>42</v>
      </c>
      <c r="C170" t="s">
        <v>58</v>
      </c>
      <c r="D170">
        <v>57198</v>
      </c>
      <c r="E170">
        <v>19</v>
      </c>
      <c r="F170">
        <v>2</v>
      </c>
      <c r="G170" t="s">
        <v>3032</v>
      </c>
    </row>
    <row r="171" spans="1:7">
      <c r="A171" t="s">
        <v>3217</v>
      </c>
      <c r="B171" t="s">
        <v>73</v>
      </c>
      <c r="C171" t="s">
        <v>78</v>
      </c>
      <c r="D171">
        <v>587995</v>
      </c>
      <c r="E171">
        <v>3</v>
      </c>
      <c r="F171">
        <v>7</v>
      </c>
      <c r="G171" t="s">
        <v>3051</v>
      </c>
    </row>
    <row r="172" spans="1:7">
      <c r="A172" t="s">
        <v>3218</v>
      </c>
      <c r="B172" t="s">
        <v>30</v>
      </c>
      <c r="C172" t="s">
        <v>22</v>
      </c>
      <c r="D172">
        <v>301014</v>
      </c>
      <c r="E172">
        <v>15</v>
      </c>
      <c r="F172">
        <v>7</v>
      </c>
      <c r="G172" t="s">
        <v>3099</v>
      </c>
    </row>
    <row r="173" spans="1:7">
      <c r="A173" t="s">
        <v>3219</v>
      </c>
      <c r="B173" t="s">
        <v>73</v>
      </c>
      <c r="C173" t="s">
        <v>78</v>
      </c>
      <c r="D173">
        <v>373934</v>
      </c>
      <c r="E173">
        <v>4</v>
      </c>
      <c r="F173">
        <v>5</v>
      </c>
      <c r="G173" t="s">
        <v>3043</v>
      </c>
    </row>
    <row r="174" spans="1:7">
      <c r="A174" t="s">
        <v>3220</v>
      </c>
      <c r="B174" t="s">
        <v>73</v>
      </c>
      <c r="C174" t="s">
        <v>58</v>
      </c>
      <c r="D174">
        <v>837478</v>
      </c>
      <c r="E174">
        <v>15</v>
      </c>
      <c r="F174">
        <v>7</v>
      </c>
      <c r="G174" t="s">
        <v>3038</v>
      </c>
    </row>
    <row r="175" spans="1:7">
      <c r="A175" t="s">
        <v>3221</v>
      </c>
      <c r="B175" t="s">
        <v>73</v>
      </c>
      <c r="C175" t="s">
        <v>78</v>
      </c>
      <c r="D175">
        <v>925231</v>
      </c>
      <c r="E175">
        <v>18</v>
      </c>
      <c r="F175">
        <v>7</v>
      </c>
      <c r="G175" t="s">
        <v>3040</v>
      </c>
    </row>
    <row r="176" spans="1:7">
      <c r="A176" t="s">
        <v>3222</v>
      </c>
      <c r="B176" t="s">
        <v>23</v>
      </c>
      <c r="C176" t="s">
        <v>14</v>
      </c>
      <c r="D176">
        <v>425243</v>
      </c>
      <c r="E176">
        <v>15</v>
      </c>
      <c r="F176">
        <v>9</v>
      </c>
      <c r="G176" t="s">
        <v>3085</v>
      </c>
    </row>
    <row r="177" spans="1:7">
      <c r="A177" t="s">
        <v>3223</v>
      </c>
      <c r="B177" t="s">
        <v>15</v>
      </c>
      <c r="C177" t="s">
        <v>36</v>
      </c>
      <c r="D177">
        <v>279791</v>
      </c>
      <c r="E177">
        <v>1</v>
      </c>
      <c r="F177">
        <v>8</v>
      </c>
      <c r="G177" t="s">
        <v>3045</v>
      </c>
    </row>
    <row r="178" spans="1:7">
      <c r="A178" t="s">
        <v>3224</v>
      </c>
      <c r="B178" t="s">
        <v>23</v>
      </c>
      <c r="C178" t="s">
        <v>58</v>
      </c>
      <c r="D178">
        <v>637623</v>
      </c>
      <c r="E178">
        <v>20</v>
      </c>
      <c r="F178">
        <v>5</v>
      </c>
      <c r="G178" t="s">
        <v>3038</v>
      </c>
    </row>
    <row r="179" spans="1:7">
      <c r="A179" t="s">
        <v>3225</v>
      </c>
      <c r="B179" t="s">
        <v>42</v>
      </c>
      <c r="C179" t="s">
        <v>58</v>
      </c>
      <c r="D179">
        <v>781066</v>
      </c>
      <c r="E179">
        <v>3</v>
      </c>
      <c r="F179">
        <v>4</v>
      </c>
      <c r="G179" t="s">
        <v>3075</v>
      </c>
    </row>
    <row r="180" spans="1:7">
      <c r="A180" t="s">
        <v>3226</v>
      </c>
      <c r="B180" t="s">
        <v>73</v>
      </c>
      <c r="C180" t="s">
        <v>22</v>
      </c>
      <c r="D180">
        <v>643370</v>
      </c>
      <c r="E180">
        <v>8</v>
      </c>
      <c r="F180">
        <v>2</v>
      </c>
      <c r="G180" t="s">
        <v>3038</v>
      </c>
    </row>
    <row r="181" spans="1:7">
      <c r="A181" t="s">
        <v>3227</v>
      </c>
      <c r="B181" t="s">
        <v>15</v>
      </c>
      <c r="C181" t="s">
        <v>22</v>
      </c>
      <c r="D181">
        <v>943171</v>
      </c>
      <c r="E181">
        <v>19</v>
      </c>
      <c r="F181">
        <v>8</v>
      </c>
      <c r="G181" t="s">
        <v>3043</v>
      </c>
    </row>
    <row r="182" spans="1:7">
      <c r="A182" t="s">
        <v>3228</v>
      </c>
      <c r="B182" t="s">
        <v>73</v>
      </c>
      <c r="C182" t="s">
        <v>78</v>
      </c>
      <c r="D182">
        <v>939298</v>
      </c>
      <c r="E182">
        <v>4</v>
      </c>
      <c r="F182">
        <v>4</v>
      </c>
      <c r="G182" t="s">
        <v>3085</v>
      </c>
    </row>
    <row r="183" spans="1:7">
      <c r="A183" t="s">
        <v>3229</v>
      </c>
      <c r="B183" t="s">
        <v>23</v>
      </c>
      <c r="C183" t="s">
        <v>22</v>
      </c>
      <c r="D183">
        <v>716697</v>
      </c>
      <c r="E183">
        <v>2</v>
      </c>
      <c r="F183">
        <v>10</v>
      </c>
      <c r="G183" t="s">
        <v>3054</v>
      </c>
    </row>
    <row r="184" spans="1:7">
      <c r="A184" t="s">
        <v>3230</v>
      </c>
      <c r="B184" t="s">
        <v>15</v>
      </c>
      <c r="C184" t="s">
        <v>58</v>
      </c>
      <c r="D184">
        <v>305476</v>
      </c>
      <c r="E184">
        <v>19</v>
      </c>
      <c r="F184">
        <v>4</v>
      </c>
      <c r="G184" t="s">
        <v>3075</v>
      </c>
    </row>
    <row r="185" spans="1:7">
      <c r="A185" t="s">
        <v>3231</v>
      </c>
      <c r="B185" t="s">
        <v>30</v>
      </c>
      <c r="C185" t="s">
        <v>36</v>
      </c>
      <c r="D185">
        <v>913130</v>
      </c>
      <c r="E185">
        <v>4</v>
      </c>
      <c r="F185">
        <v>1</v>
      </c>
      <c r="G185" t="s">
        <v>3049</v>
      </c>
    </row>
    <row r="186" spans="1:7">
      <c r="A186" t="s">
        <v>3232</v>
      </c>
      <c r="B186" t="s">
        <v>42</v>
      </c>
      <c r="C186" t="s">
        <v>78</v>
      </c>
      <c r="D186">
        <v>889596</v>
      </c>
      <c r="E186">
        <v>10</v>
      </c>
      <c r="F186">
        <v>9</v>
      </c>
      <c r="G186" t="s">
        <v>3099</v>
      </c>
    </row>
    <row r="187" spans="1:7">
      <c r="A187" t="s">
        <v>3233</v>
      </c>
      <c r="B187" t="s">
        <v>42</v>
      </c>
      <c r="C187" t="s">
        <v>36</v>
      </c>
      <c r="D187">
        <v>933200</v>
      </c>
      <c r="E187">
        <v>3</v>
      </c>
      <c r="F187">
        <v>3</v>
      </c>
      <c r="G187" t="s">
        <v>3040</v>
      </c>
    </row>
    <row r="188" spans="1:7">
      <c r="A188" t="s">
        <v>3234</v>
      </c>
      <c r="B188" t="s">
        <v>42</v>
      </c>
      <c r="C188" t="s">
        <v>14</v>
      </c>
      <c r="D188">
        <v>425388</v>
      </c>
      <c r="E188">
        <v>18</v>
      </c>
      <c r="F188">
        <v>8</v>
      </c>
      <c r="G188" t="s">
        <v>3040</v>
      </c>
    </row>
    <row r="189" spans="1:7">
      <c r="A189" t="s">
        <v>3235</v>
      </c>
      <c r="B189" t="s">
        <v>30</v>
      </c>
      <c r="C189" t="s">
        <v>22</v>
      </c>
      <c r="D189">
        <v>876548</v>
      </c>
      <c r="E189">
        <v>7</v>
      </c>
      <c r="F189">
        <v>3</v>
      </c>
      <c r="G189" t="s">
        <v>3054</v>
      </c>
    </row>
    <row r="190" spans="1:7">
      <c r="A190" t="s">
        <v>3236</v>
      </c>
      <c r="B190" t="s">
        <v>15</v>
      </c>
      <c r="C190" t="s">
        <v>22</v>
      </c>
      <c r="D190">
        <v>553332</v>
      </c>
      <c r="E190">
        <v>10</v>
      </c>
      <c r="F190">
        <v>6</v>
      </c>
      <c r="G190" t="s">
        <v>3049</v>
      </c>
    </row>
    <row r="191" spans="1:7">
      <c r="A191" t="s">
        <v>3237</v>
      </c>
      <c r="B191" t="s">
        <v>73</v>
      </c>
      <c r="C191" t="s">
        <v>58</v>
      </c>
      <c r="D191">
        <v>168734</v>
      </c>
      <c r="E191">
        <v>11</v>
      </c>
      <c r="F191">
        <v>5</v>
      </c>
      <c r="G191" t="s">
        <v>3099</v>
      </c>
    </row>
    <row r="192" spans="1:7">
      <c r="A192" t="s">
        <v>3238</v>
      </c>
      <c r="B192" t="s">
        <v>30</v>
      </c>
      <c r="C192" t="s">
        <v>14</v>
      </c>
      <c r="D192">
        <v>176112</v>
      </c>
      <c r="E192">
        <v>7</v>
      </c>
      <c r="F192">
        <v>7</v>
      </c>
      <c r="G192" t="s">
        <v>3099</v>
      </c>
    </row>
    <row r="193" spans="1:7">
      <c r="A193" t="s">
        <v>3239</v>
      </c>
      <c r="B193" t="s">
        <v>15</v>
      </c>
      <c r="C193" t="s">
        <v>78</v>
      </c>
      <c r="D193">
        <v>128604</v>
      </c>
      <c r="E193">
        <v>19</v>
      </c>
      <c r="F193">
        <v>9</v>
      </c>
      <c r="G193" t="s">
        <v>3060</v>
      </c>
    </row>
    <row r="194" spans="1:7">
      <c r="A194" t="s">
        <v>3240</v>
      </c>
      <c r="B194" t="s">
        <v>15</v>
      </c>
      <c r="C194" t="s">
        <v>36</v>
      </c>
      <c r="D194">
        <v>806508</v>
      </c>
      <c r="E194">
        <v>9</v>
      </c>
      <c r="F194">
        <v>4</v>
      </c>
      <c r="G194" t="s">
        <v>3060</v>
      </c>
    </row>
    <row r="195" spans="1:7">
      <c r="A195" t="s">
        <v>3241</v>
      </c>
      <c r="B195" t="s">
        <v>30</v>
      </c>
      <c r="C195" t="s">
        <v>22</v>
      </c>
      <c r="D195">
        <v>89020</v>
      </c>
      <c r="E195">
        <v>8</v>
      </c>
      <c r="F195">
        <v>2</v>
      </c>
      <c r="G195" t="s">
        <v>3085</v>
      </c>
    </row>
    <row r="196" spans="1:7">
      <c r="A196" t="s">
        <v>3242</v>
      </c>
      <c r="B196" t="s">
        <v>42</v>
      </c>
      <c r="C196" t="s">
        <v>22</v>
      </c>
      <c r="D196">
        <v>59624</v>
      </c>
      <c r="E196">
        <v>3</v>
      </c>
      <c r="F196">
        <v>10</v>
      </c>
      <c r="G196" t="s">
        <v>3099</v>
      </c>
    </row>
    <row r="197" spans="1:7">
      <c r="A197" t="s">
        <v>3243</v>
      </c>
      <c r="B197" t="s">
        <v>42</v>
      </c>
      <c r="C197" t="s">
        <v>78</v>
      </c>
      <c r="D197">
        <v>837791</v>
      </c>
      <c r="E197">
        <v>14</v>
      </c>
      <c r="F197">
        <v>10</v>
      </c>
      <c r="G197" t="s">
        <v>3040</v>
      </c>
    </row>
    <row r="198" spans="1:7">
      <c r="A198" t="s">
        <v>3244</v>
      </c>
      <c r="B198" t="s">
        <v>30</v>
      </c>
      <c r="C198" t="s">
        <v>58</v>
      </c>
      <c r="D198">
        <v>560502</v>
      </c>
      <c r="E198">
        <v>14</v>
      </c>
      <c r="F198">
        <v>6</v>
      </c>
      <c r="G198" t="s">
        <v>3038</v>
      </c>
    </row>
    <row r="199" spans="1:7">
      <c r="A199" t="s">
        <v>3245</v>
      </c>
      <c r="B199" t="s">
        <v>30</v>
      </c>
      <c r="C199" t="s">
        <v>14</v>
      </c>
      <c r="D199">
        <v>820711</v>
      </c>
      <c r="E199">
        <v>4</v>
      </c>
      <c r="F199">
        <v>10</v>
      </c>
      <c r="G199" t="s">
        <v>3099</v>
      </c>
    </row>
    <row r="200" spans="1:7">
      <c r="A200" t="s">
        <v>3246</v>
      </c>
      <c r="B200" t="s">
        <v>73</v>
      </c>
      <c r="C200" t="s">
        <v>14</v>
      </c>
      <c r="D200">
        <v>485536</v>
      </c>
      <c r="E200">
        <v>3</v>
      </c>
      <c r="F200">
        <v>2</v>
      </c>
      <c r="G200" t="s">
        <v>3063</v>
      </c>
    </row>
    <row r="201" spans="1:7">
      <c r="A201" t="s">
        <v>3247</v>
      </c>
      <c r="B201" t="s">
        <v>15</v>
      </c>
      <c r="C201" t="s">
        <v>78</v>
      </c>
      <c r="D201">
        <v>867900</v>
      </c>
      <c r="E201">
        <v>15</v>
      </c>
      <c r="F201">
        <v>1</v>
      </c>
      <c r="G201" t="s">
        <v>3045</v>
      </c>
    </row>
    <row r="202" spans="1:7">
      <c r="A202" t="s">
        <v>3248</v>
      </c>
      <c r="B202" t="s">
        <v>23</v>
      </c>
      <c r="C202" t="s">
        <v>36</v>
      </c>
      <c r="D202">
        <v>667022</v>
      </c>
      <c r="E202">
        <v>12</v>
      </c>
      <c r="F202">
        <v>2</v>
      </c>
      <c r="G202" t="s">
        <v>3065</v>
      </c>
    </row>
    <row r="203" spans="1:7">
      <c r="A203" t="s">
        <v>3249</v>
      </c>
      <c r="B203" t="s">
        <v>73</v>
      </c>
      <c r="C203" t="s">
        <v>36</v>
      </c>
      <c r="D203">
        <v>711852</v>
      </c>
      <c r="E203">
        <v>12</v>
      </c>
      <c r="F203">
        <v>4</v>
      </c>
      <c r="G203" t="s">
        <v>3058</v>
      </c>
    </row>
    <row r="204" spans="1:7">
      <c r="A204" t="s">
        <v>3250</v>
      </c>
      <c r="B204" t="s">
        <v>42</v>
      </c>
      <c r="C204" t="s">
        <v>22</v>
      </c>
      <c r="D204">
        <v>857447</v>
      </c>
      <c r="E204">
        <v>6</v>
      </c>
      <c r="F204">
        <v>2</v>
      </c>
      <c r="G204" t="s">
        <v>3085</v>
      </c>
    </row>
    <row r="205" spans="1:7">
      <c r="A205" t="s">
        <v>3251</v>
      </c>
      <c r="B205" t="s">
        <v>73</v>
      </c>
      <c r="C205" t="s">
        <v>78</v>
      </c>
      <c r="D205">
        <v>113985</v>
      </c>
      <c r="E205">
        <v>19</v>
      </c>
      <c r="F205">
        <v>1</v>
      </c>
      <c r="G205" t="s">
        <v>3043</v>
      </c>
    </row>
    <row r="206" spans="1:7">
      <c r="A206" t="s">
        <v>3252</v>
      </c>
      <c r="B206" t="s">
        <v>15</v>
      </c>
      <c r="C206" t="s">
        <v>36</v>
      </c>
      <c r="D206">
        <v>734737</v>
      </c>
      <c r="E206">
        <v>4</v>
      </c>
      <c r="F206">
        <v>8</v>
      </c>
      <c r="G206" t="s">
        <v>3038</v>
      </c>
    </row>
    <row r="207" spans="1:7">
      <c r="A207" t="s">
        <v>3253</v>
      </c>
      <c r="B207" t="s">
        <v>73</v>
      </c>
      <c r="C207" t="s">
        <v>22</v>
      </c>
      <c r="D207">
        <v>843306</v>
      </c>
      <c r="E207">
        <v>13</v>
      </c>
      <c r="F207">
        <v>3</v>
      </c>
      <c r="G207" t="s">
        <v>3043</v>
      </c>
    </row>
    <row r="208" spans="1:7">
      <c r="A208" t="s">
        <v>3254</v>
      </c>
      <c r="B208" t="s">
        <v>42</v>
      </c>
      <c r="C208" t="s">
        <v>22</v>
      </c>
      <c r="D208">
        <v>260552</v>
      </c>
      <c r="E208">
        <v>2</v>
      </c>
      <c r="F208">
        <v>5</v>
      </c>
      <c r="G208" t="s">
        <v>3038</v>
      </c>
    </row>
    <row r="209" spans="1:7">
      <c r="A209" t="s">
        <v>3255</v>
      </c>
      <c r="B209" t="s">
        <v>15</v>
      </c>
      <c r="C209" t="s">
        <v>58</v>
      </c>
      <c r="D209">
        <v>602214</v>
      </c>
      <c r="E209">
        <v>16</v>
      </c>
      <c r="F209">
        <v>2</v>
      </c>
      <c r="G209" t="s">
        <v>3051</v>
      </c>
    </row>
    <row r="210" spans="1:7">
      <c r="A210" t="s">
        <v>3256</v>
      </c>
      <c r="B210" t="s">
        <v>42</v>
      </c>
      <c r="C210" t="s">
        <v>78</v>
      </c>
      <c r="D210">
        <v>827149</v>
      </c>
      <c r="E210">
        <v>20</v>
      </c>
      <c r="F210">
        <v>8</v>
      </c>
      <c r="G210" t="s">
        <v>3032</v>
      </c>
    </row>
    <row r="211" spans="1:7">
      <c r="A211" t="s">
        <v>3257</v>
      </c>
      <c r="B211" t="s">
        <v>15</v>
      </c>
      <c r="C211" t="s">
        <v>22</v>
      </c>
      <c r="D211">
        <v>621064</v>
      </c>
      <c r="E211">
        <v>8</v>
      </c>
      <c r="F211">
        <v>8</v>
      </c>
      <c r="G211" t="s">
        <v>3063</v>
      </c>
    </row>
    <row r="212" spans="1:7">
      <c r="A212" t="s">
        <v>3258</v>
      </c>
      <c r="B212" t="s">
        <v>42</v>
      </c>
      <c r="C212" t="s">
        <v>58</v>
      </c>
      <c r="D212">
        <v>753458</v>
      </c>
      <c r="E212">
        <v>7</v>
      </c>
      <c r="F212">
        <v>5</v>
      </c>
      <c r="G212" t="s">
        <v>3075</v>
      </c>
    </row>
    <row r="213" spans="1:7">
      <c r="A213" t="s">
        <v>3259</v>
      </c>
      <c r="B213" t="s">
        <v>42</v>
      </c>
      <c r="C213" t="s">
        <v>22</v>
      </c>
      <c r="D213">
        <v>506040</v>
      </c>
      <c r="E213">
        <v>6</v>
      </c>
      <c r="F213">
        <v>4</v>
      </c>
      <c r="G213" t="s">
        <v>3032</v>
      </c>
    </row>
    <row r="214" spans="1:7">
      <c r="A214" t="s">
        <v>3260</v>
      </c>
      <c r="B214" t="s">
        <v>73</v>
      </c>
      <c r="C214" t="s">
        <v>36</v>
      </c>
      <c r="D214">
        <v>235405</v>
      </c>
      <c r="E214">
        <v>18</v>
      </c>
      <c r="F214">
        <v>8</v>
      </c>
      <c r="G214" t="s">
        <v>3065</v>
      </c>
    </row>
    <row r="215" spans="1:7">
      <c r="A215" t="s">
        <v>3261</v>
      </c>
      <c r="B215" t="s">
        <v>15</v>
      </c>
      <c r="C215" t="s">
        <v>22</v>
      </c>
      <c r="D215">
        <v>877532</v>
      </c>
      <c r="E215">
        <v>1</v>
      </c>
      <c r="F215">
        <v>9</v>
      </c>
      <c r="G215" t="s">
        <v>3032</v>
      </c>
    </row>
    <row r="216" spans="1:7">
      <c r="A216" t="s">
        <v>3262</v>
      </c>
      <c r="B216" t="s">
        <v>73</v>
      </c>
      <c r="C216" t="s">
        <v>22</v>
      </c>
      <c r="D216">
        <v>827959</v>
      </c>
      <c r="E216">
        <v>18</v>
      </c>
      <c r="F216">
        <v>2</v>
      </c>
      <c r="G216" t="s">
        <v>3045</v>
      </c>
    </row>
    <row r="217" spans="1:7">
      <c r="A217" t="s">
        <v>3263</v>
      </c>
      <c r="B217" t="s">
        <v>30</v>
      </c>
      <c r="C217" t="s">
        <v>36</v>
      </c>
      <c r="D217">
        <v>865703</v>
      </c>
      <c r="E217">
        <v>17</v>
      </c>
      <c r="F217">
        <v>10</v>
      </c>
      <c r="G217" t="s">
        <v>3038</v>
      </c>
    </row>
    <row r="218" spans="1:7">
      <c r="A218" t="s">
        <v>3264</v>
      </c>
      <c r="B218" t="s">
        <v>73</v>
      </c>
      <c r="C218" t="s">
        <v>78</v>
      </c>
      <c r="D218">
        <v>625187</v>
      </c>
      <c r="E218">
        <v>13</v>
      </c>
      <c r="F218">
        <v>8</v>
      </c>
      <c r="G218" t="s">
        <v>3056</v>
      </c>
    </row>
    <row r="219" spans="1:7">
      <c r="A219" t="s">
        <v>3265</v>
      </c>
      <c r="B219" t="s">
        <v>42</v>
      </c>
      <c r="C219" t="s">
        <v>22</v>
      </c>
      <c r="D219">
        <v>901052</v>
      </c>
      <c r="E219">
        <v>9</v>
      </c>
      <c r="F219">
        <v>7</v>
      </c>
      <c r="G219" t="s">
        <v>3060</v>
      </c>
    </row>
    <row r="220" spans="1:7">
      <c r="A220" t="s">
        <v>3266</v>
      </c>
      <c r="B220" t="s">
        <v>30</v>
      </c>
      <c r="C220" t="s">
        <v>14</v>
      </c>
      <c r="D220">
        <v>922278</v>
      </c>
      <c r="E220">
        <v>15</v>
      </c>
      <c r="F220">
        <v>2</v>
      </c>
      <c r="G220" t="s">
        <v>3045</v>
      </c>
    </row>
    <row r="221" spans="1:7">
      <c r="A221" t="s">
        <v>3267</v>
      </c>
      <c r="B221" t="s">
        <v>73</v>
      </c>
      <c r="C221" t="s">
        <v>22</v>
      </c>
      <c r="D221">
        <v>341679</v>
      </c>
      <c r="E221">
        <v>9</v>
      </c>
      <c r="F221">
        <v>5</v>
      </c>
      <c r="G221" t="s">
        <v>3051</v>
      </c>
    </row>
    <row r="222" spans="1:7">
      <c r="A222" t="s">
        <v>3268</v>
      </c>
      <c r="B222" t="s">
        <v>23</v>
      </c>
      <c r="C222" t="s">
        <v>14</v>
      </c>
      <c r="D222">
        <v>273099</v>
      </c>
      <c r="E222">
        <v>19</v>
      </c>
      <c r="F222">
        <v>3</v>
      </c>
      <c r="G222" t="s">
        <v>3060</v>
      </c>
    </row>
    <row r="223" spans="1:7">
      <c r="A223" t="s">
        <v>3269</v>
      </c>
      <c r="B223" t="s">
        <v>73</v>
      </c>
      <c r="C223" t="s">
        <v>58</v>
      </c>
      <c r="D223">
        <v>387321</v>
      </c>
      <c r="E223">
        <v>16</v>
      </c>
      <c r="F223">
        <v>6</v>
      </c>
      <c r="G223" t="s">
        <v>3085</v>
      </c>
    </row>
    <row r="224" spans="1:7">
      <c r="A224" t="s">
        <v>3270</v>
      </c>
      <c r="B224" t="s">
        <v>15</v>
      </c>
      <c r="C224" t="s">
        <v>14</v>
      </c>
      <c r="D224">
        <v>450213</v>
      </c>
      <c r="E224">
        <v>12</v>
      </c>
      <c r="F224">
        <v>1</v>
      </c>
      <c r="G224" t="s">
        <v>3063</v>
      </c>
    </row>
    <row r="225" spans="1:7">
      <c r="A225" t="s">
        <v>3271</v>
      </c>
      <c r="B225" t="s">
        <v>30</v>
      </c>
      <c r="C225" t="s">
        <v>58</v>
      </c>
      <c r="D225">
        <v>291570</v>
      </c>
      <c r="E225">
        <v>14</v>
      </c>
      <c r="F225">
        <v>7</v>
      </c>
      <c r="G225" t="s">
        <v>3049</v>
      </c>
    </row>
    <row r="226" spans="1:7">
      <c r="A226" t="s">
        <v>3272</v>
      </c>
      <c r="B226" t="s">
        <v>30</v>
      </c>
      <c r="C226" t="s">
        <v>36</v>
      </c>
      <c r="D226">
        <v>173542</v>
      </c>
      <c r="E226">
        <v>4</v>
      </c>
      <c r="F226">
        <v>4</v>
      </c>
      <c r="G226" t="s">
        <v>3054</v>
      </c>
    </row>
    <row r="227" spans="1:7">
      <c r="A227" t="s">
        <v>3273</v>
      </c>
      <c r="B227" t="s">
        <v>23</v>
      </c>
      <c r="C227" t="s">
        <v>22</v>
      </c>
      <c r="D227">
        <v>652724</v>
      </c>
      <c r="E227">
        <v>13</v>
      </c>
      <c r="F227">
        <v>3</v>
      </c>
      <c r="G227" t="s">
        <v>3075</v>
      </c>
    </row>
    <row r="228" spans="1:7">
      <c r="A228" t="s">
        <v>3274</v>
      </c>
      <c r="B228" t="s">
        <v>23</v>
      </c>
      <c r="C228" t="s">
        <v>36</v>
      </c>
      <c r="D228">
        <v>765701</v>
      </c>
      <c r="E228">
        <v>4</v>
      </c>
      <c r="F228">
        <v>2</v>
      </c>
      <c r="G228" t="s">
        <v>3060</v>
      </c>
    </row>
    <row r="229" spans="1:7">
      <c r="A229" t="s">
        <v>3275</v>
      </c>
      <c r="B229" t="s">
        <v>23</v>
      </c>
      <c r="C229" t="s">
        <v>14</v>
      </c>
      <c r="D229">
        <v>513421</v>
      </c>
      <c r="E229">
        <v>9</v>
      </c>
      <c r="F229">
        <v>2</v>
      </c>
      <c r="G229" t="s">
        <v>3075</v>
      </c>
    </row>
    <row r="230" spans="1:7">
      <c r="A230" t="s">
        <v>3276</v>
      </c>
      <c r="B230" t="s">
        <v>30</v>
      </c>
      <c r="C230" t="s">
        <v>58</v>
      </c>
      <c r="D230">
        <v>563481</v>
      </c>
      <c r="E230">
        <v>10</v>
      </c>
      <c r="F230">
        <v>1</v>
      </c>
      <c r="G230" t="s">
        <v>3032</v>
      </c>
    </row>
    <row r="231" spans="1:7">
      <c r="A231" t="s">
        <v>3277</v>
      </c>
      <c r="B231" t="s">
        <v>42</v>
      </c>
      <c r="C231" t="s">
        <v>58</v>
      </c>
      <c r="D231">
        <v>878984</v>
      </c>
      <c r="E231">
        <v>14</v>
      </c>
      <c r="F231">
        <v>1</v>
      </c>
      <c r="G231" t="s">
        <v>3049</v>
      </c>
    </row>
    <row r="232" spans="1:7">
      <c r="A232" t="s">
        <v>3278</v>
      </c>
      <c r="B232" t="s">
        <v>15</v>
      </c>
      <c r="C232" t="s">
        <v>78</v>
      </c>
      <c r="D232">
        <v>913243</v>
      </c>
      <c r="E232">
        <v>7</v>
      </c>
      <c r="F232">
        <v>3</v>
      </c>
      <c r="G232" t="s">
        <v>3099</v>
      </c>
    </row>
    <row r="233" spans="1:7">
      <c r="A233" t="s">
        <v>3279</v>
      </c>
      <c r="B233" t="s">
        <v>23</v>
      </c>
      <c r="C233" t="s">
        <v>58</v>
      </c>
      <c r="D233">
        <v>282107</v>
      </c>
      <c r="E233">
        <v>2</v>
      </c>
      <c r="F233">
        <v>4</v>
      </c>
      <c r="G233" t="s">
        <v>3043</v>
      </c>
    </row>
    <row r="234" spans="1:7">
      <c r="A234" t="s">
        <v>3280</v>
      </c>
      <c r="B234" t="s">
        <v>42</v>
      </c>
      <c r="C234" t="s">
        <v>14</v>
      </c>
      <c r="D234">
        <v>762609</v>
      </c>
      <c r="E234">
        <v>18</v>
      </c>
      <c r="F234">
        <v>6</v>
      </c>
      <c r="G234" t="s">
        <v>3049</v>
      </c>
    </row>
    <row r="235" spans="1:7">
      <c r="A235" t="s">
        <v>3281</v>
      </c>
      <c r="B235" t="s">
        <v>73</v>
      </c>
      <c r="C235" t="s">
        <v>58</v>
      </c>
      <c r="D235">
        <v>852497</v>
      </c>
      <c r="E235">
        <v>19</v>
      </c>
      <c r="F235">
        <v>2</v>
      </c>
      <c r="G235" t="s">
        <v>3045</v>
      </c>
    </row>
    <row r="236" spans="1:7">
      <c r="A236" t="s">
        <v>3282</v>
      </c>
      <c r="B236" t="s">
        <v>73</v>
      </c>
      <c r="C236" t="s">
        <v>22</v>
      </c>
      <c r="D236">
        <v>766133</v>
      </c>
      <c r="E236">
        <v>18</v>
      </c>
      <c r="F236">
        <v>1</v>
      </c>
      <c r="G236" t="s">
        <v>3049</v>
      </c>
    </row>
    <row r="237" spans="1:7">
      <c r="A237" t="s">
        <v>3283</v>
      </c>
      <c r="B237" t="s">
        <v>73</v>
      </c>
      <c r="C237" t="s">
        <v>58</v>
      </c>
      <c r="D237">
        <v>64556</v>
      </c>
      <c r="E237">
        <v>3</v>
      </c>
      <c r="F237">
        <v>6</v>
      </c>
      <c r="G237" t="s">
        <v>3045</v>
      </c>
    </row>
    <row r="238" spans="1:7">
      <c r="A238" t="s">
        <v>3284</v>
      </c>
      <c r="B238" t="s">
        <v>15</v>
      </c>
      <c r="C238" t="s">
        <v>36</v>
      </c>
      <c r="D238">
        <v>234848</v>
      </c>
      <c r="E238">
        <v>8</v>
      </c>
      <c r="F238">
        <v>8</v>
      </c>
      <c r="G238" t="s">
        <v>3075</v>
      </c>
    </row>
    <row r="239" spans="1:7">
      <c r="A239" t="s">
        <v>3285</v>
      </c>
      <c r="B239" t="s">
        <v>23</v>
      </c>
      <c r="C239" t="s">
        <v>58</v>
      </c>
      <c r="D239">
        <v>798045</v>
      </c>
      <c r="E239">
        <v>8</v>
      </c>
      <c r="F239">
        <v>1</v>
      </c>
      <c r="G239" t="s">
        <v>3038</v>
      </c>
    </row>
    <row r="240" spans="1:7">
      <c r="A240" t="s">
        <v>3286</v>
      </c>
      <c r="B240" t="s">
        <v>73</v>
      </c>
      <c r="C240" t="s">
        <v>58</v>
      </c>
      <c r="D240">
        <v>540065</v>
      </c>
      <c r="E240">
        <v>7</v>
      </c>
      <c r="F240">
        <v>2</v>
      </c>
      <c r="G240" t="s">
        <v>3035</v>
      </c>
    </row>
    <row r="241" spans="1:7">
      <c r="A241" t="s">
        <v>3287</v>
      </c>
      <c r="B241" t="s">
        <v>30</v>
      </c>
      <c r="C241" t="s">
        <v>36</v>
      </c>
      <c r="D241">
        <v>532537</v>
      </c>
      <c r="E241">
        <v>15</v>
      </c>
      <c r="F241">
        <v>10</v>
      </c>
      <c r="G241" t="s">
        <v>3035</v>
      </c>
    </row>
    <row r="242" spans="1:7">
      <c r="A242" t="s">
        <v>3288</v>
      </c>
      <c r="B242" t="s">
        <v>42</v>
      </c>
      <c r="C242" t="s">
        <v>36</v>
      </c>
      <c r="D242">
        <v>638628</v>
      </c>
      <c r="E242">
        <v>16</v>
      </c>
      <c r="F242">
        <v>2</v>
      </c>
      <c r="G242" t="s">
        <v>3099</v>
      </c>
    </row>
    <row r="243" spans="1:7">
      <c r="A243" t="s">
        <v>3289</v>
      </c>
      <c r="B243" t="s">
        <v>30</v>
      </c>
      <c r="C243" t="s">
        <v>22</v>
      </c>
      <c r="D243">
        <v>237139</v>
      </c>
      <c r="E243">
        <v>13</v>
      </c>
      <c r="F243">
        <v>4</v>
      </c>
      <c r="G243" t="s">
        <v>3085</v>
      </c>
    </row>
    <row r="244" spans="1:7">
      <c r="A244" t="s">
        <v>3290</v>
      </c>
      <c r="B244" t="s">
        <v>30</v>
      </c>
      <c r="C244" t="s">
        <v>78</v>
      </c>
      <c r="D244">
        <v>906189</v>
      </c>
      <c r="E244">
        <v>6</v>
      </c>
      <c r="F244">
        <v>5</v>
      </c>
      <c r="G244" t="s">
        <v>3038</v>
      </c>
    </row>
    <row r="245" spans="1:7">
      <c r="A245" t="s">
        <v>3291</v>
      </c>
      <c r="B245" t="s">
        <v>42</v>
      </c>
      <c r="C245" t="s">
        <v>36</v>
      </c>
      <c r="D245">
        <v>242710</v>
      </c>
      <c r="E245">
        <v>4</v>
      </c>
      <c r="F245">
        <v>6</v>
      </c>
      <c r="G245" t="s">
        <v>3054</v>
      </c>
    </row>
    <row r="246" spans="1:7">
      <c r="A246" t="s">
        <v>3292</v>
      </c>
      <c r="B246" t="s">
        <v>73</v>
      </c>
      <c r="C246" t="s">
        <v>58</v>
      </c>
      <c r="D246">
        <v>682383</v>
      </c>
      <c r="E246">
        <v>12</v>
      </c>
      <c r="F246">
        <v>7</v>
      </c>
      <c r="G246" t="s">
        <v>3032</v>
      </c>
    </row>
    <row r="247" spans="1:7">
      <c r="A247" t="s">
        <v>3293</v>
      </c>
      <c r="B247" t="s">
        <v>30</v>
      </c>
      <c r="C247" t="s">
        <v>14</v>
      </c>
      <c r="D247">
        <v>287869</v>
      </c>
      <c r="E247">
        <v>11</v>
      </c>
      <c r="F247">
        <v>3</v>
      </c>
      <c r="G247" t="s">
        <v>3065</v>
      </c>
    </row>
    <row r="248" spans="1:7">
      <c r="A248" t="s">
        <v>3294</v>
      </c>
      <c r="B248" t="s">
        <v>15</v>
      </c>
      <c r="C248" t="s">
        <v>58</v>
      </c>
      <c r="D248">
        <v>710391</v>
      </c>
      <c r="E248">
        <v>14</v>
      </c>
      <c r="F248">
        <v>8</v>
      </c>
      <c r="G248" t="s">
        <v>3075</v>
      </c>
    </row>
    <row r="249" spans="1:7">
      <c r="A249" t="s">
        <v>3295</v>
      </c>
      <c r="B249" t="s">
        <v>42</v>
      </c>
      <c r="C249" t="s">
        <v>78</v>
      </c>
      <c r="D249">
        <v>364161</v>
      </c>
      <c r="E249">
        <v>13</v>
      </c>
      <c r="F249">
        <v>5</v>
      </c>
      <c r="G249" t="s">
        <v>3075</v>
      </c>
    </row>
    <row r="250" spans="1:7">
      <c r="A250" t="s">
        <v>3296</v>
      </c>
      <c r="B250" t="s">
        <v>15</v>
      </c>
      <c r="C250" t="s">
        <v>14</v>
      </c>
      <c r="D250">
        <v>565236</v>
      </c>
      <c r="E250">
        <v>14</v>
      </c>
      <c r="F250">
        <v>8</v>
      </c>
      <c r="G250" t="s">
        <v>3058</v>
      </c>
    </row>
    <row r="251" spans="1:7">
      <c r="A251" t="s">
        <v>3297</v>
      </c>
      <c r="B251" t="s">
        <v>73</v>
      </c>
      <c r="C251" t="s">
        <v>78</v>
      </c>
      <c r="D251">
        <v>411436</v>
      </c>
      <c r="E251">
        <v>17</v>
      </c>
      <c r="F251">
        <v>5</v>
      </c>
      <c r="G251" t="s">
        <v>3038</v>
      </c>
    </row>
    <row r="252" spans="1:7">
      <c r="A252" t="s">
        <v>3298</v>
      </c>
      <c r="B252" t="s">
        <v>42</v>
      </c>
      <c r="C252" t="s">
        <v>36</v>
      </c>
      <c r="D252">
        <v>189226</v>
      </c>
      <c r="E252">
        <v>20</v>
      </c>
      <c r="F252">
        <v>3</v>
      </c>
      <c r="G252" t="s">
        <v>3063</v>
      </c>
    </row>
    <row r="253" spans="1:7">
      <c r="A253" t="s">
        <v>3299</v>
      </c>
      <c r="B253" t="s">
        <v>15</v>
      </c>
      <c r="C253" t="s">
        <v>78</v>
      </c>
      <c r="D253">
        <v>918226</v>
      </c>
      <c r="E253">
        <v>18</v>
      </c>
      <c r="F253">
        <v>5</v>
      </c>
      <c r="G253" t="s">
        <v>3099</v>
      </c>
    </row>
    <row r="254" spans="1:7">
      <c r="A254" t="s">
        <v>3300</v>
      </c>
      <c r="B254" t="s">
        <v>73</v>
      </c>
      <c r="C254" t="s">
        <v>22</v>
      </c>
      <c r="D254">
        <v>734103</v>
      </c>
      <c r="E254">
        <v>15</v>
      </c>
      <c r="F254">
        <v>8</v>
      </c>
      <c r="G254" t="s">
        <v>3099</v>
      </c>
    </row>
    <row r="255" spans="1:7">
      <c r="A255" t="s">
        <v>3301</v>
      </c>
      <c r="B255" t="s">
        <v>30</v>
      </c>
      <c r="C255" t="s">
        <v>22</v>
      </c>
      <c r="D255">
        <v>847498</v>
      </c>
      <c r="E255">
        <v>1</v>
      </c>
      <c r="F255">
        <v>7</v>
      </c>
      <c r="G255" t="s">
        <v>3063</v>
      </c>
    </row>
    <row r="256" spans="1:7">
      <c r="A256" t="s">
        <v>3302</v>
      </c>
      <c r="B256" t="s">
        <v>30</v>
      </c>
      <c r="C256" t="s">
        <v>14</v>
      </c>
      <c r="D256">
        <v>708591</v>
      </c>
      <c r="E256">
        <v>3</v>
      </c>
      <c r="F256">
        <v>7</v>
      </c>
      <c r="G256" t="s">
        <v>3085</v>
      </c>
    </row>
    <row r="257" spans="1:7">
      <c r="A257" t="s">
        <v>3303</v>
      </c>
      <c r="B257" t="s">
        <v>23</v>
      </c>
      <c r="C257" t="s">
        <v>36</v>
      </c>
      <c r="D257">
        <v>916489</v>
      </c>
      <c r="E257">
        <v>8</v>
      </c>
      <c r="F257">
        <v>10</v>
      </c>
      <c r="G257" t="s">
        <v>3085</v>
      </c>
    </row>
    <row r="258" spans="1:7">
      <c r="A258" t="s">
        <v>3304</v>
      </c>
      <c r="B258" t="s">
        <v>23</v>
      </c>
      <c r="C258" t="s">
        <v>22</v>
      </c>
      <c r="D258">
        <v>544712</v>
      </c>
      <c r="E258">
        <v>5</v>
      </c>
      <c r="F258">
        <v>7</v>
      </c>
      <c r="G258" t="s">
        <v>3051</v>
      </c>
    </row>
    <row r="259" spans="1:7">
      <c r="A259" t="s">
        <v>3305</v>
      </c>
      <c r="B259" t="s">
        <v>42</v>
      </c>
      <c r="C259" t="s">
        <v>36</v>
      </c>
      <c r="D259">
        <v>238020</v>
      </c>
      <c r="E259">
        <v>14</v>
      </c>
      <c r="F259">
        <v>9</v>
      </c>
      <c r="G259" t="s">
        <v>3049</v>
      </c>
    </row>
    <row r="260" spans="1:7">
      <c r="A260" t="s">
        <v>3306</v>
      </c>
      <c r="B260" t="s">
        <v>23</v>
      </c>
      <c r="C260" t="s">
        <v>22</v>
      </c>
      <c r="D260">
        <v>156944</v>
      </c>
      <c r="E260">
        <v>3</v>
      </c>
      <c r="F260">
        <v>2</v>
      </c>
      <c r="G260" t="s">
        <v>3075</v>
      </c>
    </row>
    <row r="261" spans="1:7">
      <c r="A261" t="s">
        <v>3307</v>
      </c>
      <c r="B261" t="s">
        <v>73</v>
      </c>
      <c r="C261" t="s">
        <v>14</v>
      </c>
      <c r="D261">
        <v>889913</v>
      </c>
      <c r="E261">
        <v>5</v>
      </c>
      <c r="F261">
        <v>2</v>
      </c>
      <c r="G261" t="s">
        <v>3045</v>
      </c>
    </row>
    <row r="262" spans="1:7">
      <c r="A262" t="s">
        <v>3308</v>
      </c>
      <c r="B262" t="s">
        <v>15</v>
      </c>
      <c r="C262" t="s">
        <v>22</v>
      </c>
      <c r="D262">
        <v>802576</v>
      </c>
      <c r="E262">
        <v>19</v>
      </c>
      <c r="F262">
        <v>8</v>
      </c>
      <c r="G262" t="s">
        <v>3032</v>
      </c>
    </row>
    <row r="263" spans="1:7">
      <c r="A263" t="s">
        <v>3309</v>
      </c>
      <c r="B263" t="s">
        <v>73</v>
      </c>
      <c r="C263" t="s">
        <v>58</v>
      </c>
      <c r="D263">
        <v>207666</v>
      </c>
      <c r="E263">
        <v>13</v>
      </c>
      <c r="F263">
        <v>5</v>
      </c>
      <c r="G263" t="s">
        <v>3063</v>
      </c>
    </row>
    <row r="264" spans="1:7">
      <c r="A264" t="s">
        <v>3310</v>
      </c>
      <c r="B264" t="s">
        <v>15</v>
      </c>
      <c r="C264" t="s">
        <v>58</v>
      </c>
      <c r="D264">
        <v>508263</v>
      </c>
      <c r="E264">
        <v>8</v>
      </c>
      <c r="F264">
        <v>1</v>
      </c>
      <c r="G264" t="s">
        <v>3035</v>
      </c>
    </row>
    <row r="265" spans="1:7">
      <c r="A265" t="s">
        <v>3311</v>
      </c>
      <c r="B265" t="s">
        <v>73</v>
      </c>
      <c r="C265" t="s">
        <v>58</v>
      </c>
      <c r="D265">
        <v>390013</v>
      </c>
      <c r="E265">
        <v>9</v>
      </c>
      <c r="F265">
        <v>7</v>
      </c>
      <c r="G265" t="s">
        <v>3058</v>
      </c>
    </row>
    <row r="266" spans="1:7">
      <c r="A266" t="s">
        <v>3312</v>
      </c>
      <c r="B266" t="s">
        <v>15</v>
      </c>
      <c r="C266" t="s">
        <v>22</v>
      </c>
      <c r="D266">
        <v>355200</v>
      </c>
      <c r="E266">
        <v>14</v>
      </c>
      <c r="F266">
        <v>7</v>
      </c>
      <c r="G266" t="s">
        <v>3060</v>
      </c>
    </row>
    <row r="267" spans="1:7">
      <c r="A267" t="s">
        <v>3313</v>
      </c>
      <c r="B267" t="s">
        <v>15</v>
      </c>
      <c r="C267" t="s">
        <v>58</v>
      </c>
      <c r="D267">
        <v>106568</v>
      </c>
      <c r="E267">
        <v>15</v>
      </c>
      <c r="F267">
        <v>1</v>
      </c>
      <c r="G267" t="s">
        <v>3035</v>
      </c>
    </row>
    <row r="268" spans="1:7">
      <c r="A268" t="s">
        <v>3314</v>
      </c>
      <c r="B268" t="s">
        <v>30</v>
      </c>
      <c r="C268" t="s">
        <v>78</v>
      </c>
      <c r="D268">
        <v>716237</v>
      </c>
      <c r="E268">
        <v>1</v>
      </c>
      <c r="F268">
        <v>2</v>
      </c>
      <c r="G268" t="s">
        <v>3085</v>
      </c>
    </row>
    <row r="269" spans="1:7">
      <c r="A269" t="s">
        <v>3315</v>
      </c>
      <c r="B269" t="s">
        <v>23</v>
      </c>
      <c r="C269" t="s">
        <v>78</v>
      </c>
      <c r="D269">
        <v>98334</v>
      </c>
      <c r="E269">
        <v>5</v>
      </c>
      <c r="F269">
        <v>7</v>
      </c>
      <c r="G269" t="s">
        <v>3060</v>
      </c>
    </row>
    <row r="270" spans="1:7">
      <c r="A270" t="s">
        <v>3316</v>
      </c>
      <c r="B270" t="s">
        <v>23</v>
      </c>
      <c r="C270" t="s">
        <v>58</v>
      </c>
      <c r="D270">
        <v>766778</v>
      </c>
      <c r="E270">
        <v>3</v>
      </c>
      <c r="F270">
        <v>8</v>
      </c>
      <c r="G270" t="s">
        <v>3065</v>
      </c>
    </row>
    <row r="271" spans="1:7">
      <c r="A271" t="s">
        <v>3317</v>
      </c>
      <c r="B271" t="s">
        <v>30</v>
      </c>
      <c r="C271" t="s">
        <v>78</v>
      </c>
      <c r="D271">
        <v>708079</v>
      </c>
      <c r="E271">
        <v>16</v>
      </c>
      <c r="F271">
        <v>2</v>
      </c>
      <c r="G271" t="s">
        <v>3075</v>
      </c>
    </row>
    <row r="272" spans="1:7">
      <c r="A272" t="s">
        <v>3318</v>
      </c>
      <c r="B272" t="s">
        <v>15</v>
      </c>
      <c r="C272" t="s">
        <v>78</v>
      </c>
      <c r="D272">
        <v>437160</v>
      </c>
      <c r="E272">
        <v>12</v>
      </c>
      <c r="F272">
        <v>2</v>
      </c>
      <c r="G272" t="s">
        <v>3058</v>
      </c>
    </row>
    <row r="273" spans="1:7">
      <c r="A273" t="s">
        <v>3319</v>
      </c>
      <c r="B273" t="s">
        <v>15</v>
      </c>
      <c r="C273" t="s">
        <v>14</v>
      </c>
      <c r="D273">
        <v>435327</v>
      </c>
      <c r="E273">
        <v>18</v>
      </c>
      <c r="F273">
        <v>6</v>
      </c>
      <c r="G273" t="s">
        <v>3038</v>
      </c>
    </row>
    <row r="274" spans="1:7">
      <c r="A274" t="s">
        <v>3320</v>
      </c>
      <c r="B274" t="s">
        <v>73</v>
      </c>
      <c r="C274" t="s">
        <v>14</v>
      </c>
      <c r="D274">
        <v>350336</v>
      </c>
      <c r="E274">
        <v>2</v>
      </c>
      <c r="F274">
        <v>9</v>
      </c>
      <c r="G274" t="s">
        <v>3058</v>
      </c>
    </row>
    <row r="275" spans="1:7">
      <c r="A275" t="s">
        <v>3321</v>
      </c>
      <c r="B275" t="s">
        <v>23</v>
      </c>
      <c r="C275" t="s">
        <v>22</v>
      </c>
      <c r="D275">
        <v>762402</v>
      </c>
      <c r="E275">
        <v>14</v>
      </c>
      <c r="F275">
        <v>6</v>
      </c>
      <c r="G275" t="s">
        <v>3075</v>
      </c>
    </row>
    <row r="276" spans="1:7">
      <c r="A276" t="s">
        <v>3322</v>
      </c>
      <c r="B276" t="s">
        <v>23</v>
      </c>
      <c r="C276" t="s">
        <v>36</v>
      </c>
      <c r="D276">
        <v>330117</v>
      </c>
      <c r="E276">
        <v>20</v>
      </c>
      <c r="F276">
        <v>9</v>
      </c>
      <c r="G276" t="s">
        <v>3035</v>
      </c>
    </row>
    <row r="277" spans="1:7">
      <c r="A277" t="s">
        <v>3323</v>
      </c>
      <c r="B277" t="s">
        <v>15</v>
      </c>
      <c r="C277" t="s">
        <v>78</v>
      </c>
      <c r="D277">
        <v>560491</v>
      </c>
      <c r="E277">
        <v>3</v>
      </c>
      <c r="F277">
        <v>1</v>
      </c>
      <c r="G277" t="s">
        <v>3063</v>
      </c>
    </row>
    <row r="278" spans="1:7">
      <c r="A278" t="s">
        <v>3324</v>
      </c>
      <c r="B278" t="s">
        <v>42</v>
      </c>
      <c r="C278" t="s">
        <v>14</v>
      </c>
      <c r="D278">
        <v>547993</v>
      </c>
      <c r="E278">
        <v>14</v>
      </c>
      <c r="F278">
        <v>2</v>
      </c>
      <c r="G278" t="s">
        <v>3058</v>
      </c>
    </row>
    <row r="279" spans="1:7">
      <c r="A279" t="s">
        <v>3325</v>
      </c>
      <c r="B279" t="s">
        <v>23</v>
      </c>
      <c r="C279" t="s">
        <v>22</v>
      </c>
      <c r="D279">
        <v>536489</v>
      </c>
      <c r="E279">
        <v>14</v>
      </c>
      <c r="F279">
        <v>10</v>
      </c>
      <c r="G279" t="s">
        <v>3032</v>
      </c>
    </row>
    <row r="280" spans="1:7">
      <c r="A280" t="s">
        <v>3326</v>
      </c>
      <c r="B280" t="s">
        <v>42</v>
      </c>
      <c r="C280" t="s">
        <v>58</v>
      </c>
      <c r="D280">
        <v>564400</v>
      </c>
      <c r="E280">
        <v>6</v>
      </c>
      <c r="F280">
        <v>7</v>
      </c>
      <c r="G280" t="s">
        <v>3099</v>
      </c>
    </row>
    <row r="281" spans="1:7">
      <c r="A281" t="s">
        <v>3327</v>
      </c>
      <c r="B281" t="s">
        <v>23</v>
      </c>
      <c r="C281" t="s">
        <v>22</v>
      </c>
      <c r="D281">
        <v>518665</v>
      </c>
      <c r="E281">
        <v>1</v>
      </c>
      <c r="F281">
        <v>4</v>
      </c>
      <c r="G281" t="s">
        <v>3051</v>
      </c>
    </row>
    <row r="282" spans="1:7">
      <c r="A282" t="s">
        <v>3328</v>
      </c>
      <c r="B282" t="s">
        <v>15</v>
      </c>
      <c r="C282" t="s">
        <v>22</v>
      </c>
      <c r="D282">
        <v>228164</v>
      </c>
      <c r="E282">
        <v>19</v>
      </c>
      <c r="F282">
        <v>5</v>
      </c>
      <c r="G282" t="s">
        <v>3060</v>
      </c>
    </row>
    <row r="283" spans="1:7">
      <c r="A283" t="s">
        <v>3329</v>
      </c>
      <c r="B283" t="s">
        <v>15</v>
      </c>
      <c r="C283" t="s">
        <v>36</v>
      </c>
      <c r="D283">
        <v>651382</v>
      </c>
      <c r="E283">
        <v>1</v>
      </c>
      <c r="F283">
        <v>1</v>
      </c>
      <c r="G283" t="s">
        <v>3065</v>
      </c>
    </row>
    <row r="284" spans="1:7">
      <c r="A284" t="s">
        <v>3330</v>
      </c>
      <c r="B284" t="s">
        <v>73</v>
      </c>
      <c r="C284" t="s">
        <v>22</v>
      </c>
      <c r="D284">
        <v>955736</v>
      </c>
      <c r="E284">
        <v>14</v>
      </c>
      <c r="F284">
        <v>8</v>
      </c>
      <c r="G284" t="s">
        <v>3065</v>
      </c>
    </row>
    <row r="285" spans="1:7">
      <c r="A285" t="s">
        <v>3331</v>
      </c>
      <c r="B285" t="s">
        <v>15</v>
      </c>
      <c r="C285" t="s">
        <v>22</v>
      </c>
      <c r="D285">
        <v>307312</v>
      </c>
      <c r="E285">
        <v>4</v>
      </c>
      <c r="F285">
        <v>7</v>
      </c>
      <c r="G285" t="s">
        <v>3085</v>
      </c>
    </row>
    <row r="286" spans="1:7">
      <c r="A286" t="s">
        <v>3332</v>
      </c>
      <c r="B286" t="s">
        <v>42</v>
      </c>
      <c r="C286" t="s">
        <v>36</v>
      </c>
      <c r="D286">
        <v>843693</v>
      </c>
      <c r="E286">
        <v>9</v>
      </c>
      <c r="F286">
        <v>6</v>
      </c>
      <c r="G286" t="s">
        <v>3056</v>
      </c>
    </row>
    <row r="287" spans="1:7">
      <c r="A287" t="s">
        <v>3333</v>
      </c>
      <c r="B287" t="s">
        <v>15</v>
      </c>
      <c r="C287" t="s">
        <v>14</v>
      </c>
      <c r="D287">
        <v>404546</v>
      </c>
      <c r="E287">
        <v>4</v>
      </c>
      <c r="F287">
        <v>9</v>
      </c>
      <c r="G287" t="s">
        <v>3060</v>
      </c>
    </row>
    <row r="288" spans="1:7">
      <c r="A288" t="s">
        <v>3334</v>
      </c>
      <c r="B288" t="s">
        <v>15</v>
      </c>
      <c r="C288" t="s">
        <v>36</v>
      </c>
      <c r="D288">
        <v>131718</v>
      </c>
      <c r="E288">
        <v>8</v>
      </c>
      <c r="F288">
        <v>10</v>
      </c>
      <c r="G288" t="s">
        <v>3065</v>
      </c>
    </row>
    <row r="289" spans="1:7">
      <c r="A289" t="s">
        <v>3335</v>
      </c>
      <c r="B289" t="s">
        <v>73</v>
      </c>
      <c r="C289" t="s">
        <v>36</v>
      </c>
      <c r="D289">
        <v>585044</v>
      </c>
      <c r="E289">
        <v>14</v>
      </c>
      <c r="F289">
        <v>9</v>
      </c>
      <c r="G289" t="s">
        <v>3040</v>
      </c>
    </row>
    <row r="290" spans="1:7">
      <c r="A290" t="s">
        <v>3336</v>
      </c>
      <c r="B290" t="s">
        <v>15</v>
      </c>
      <c r="C290" t="s">
        <v>36</v>
      </c>
      <c r="D290">
        <v>85356</v>
      </c>
      <c r="E290">
        <v>19</v>
      </c>
      <c r="F290">
        <v>2</v>
      </c>
      <c r="G290" t="s">
        <v>3085</v>
      </c>
    </row>
    <row r="291" spans="1:7">
      <c r="A291" t="s">
        <v>3337</v>
      </c>
      <c r="B291" t="s">
        <v>73</v>
      </c>
      <c r="C291" t="s">
        <v>36</v>
      </c>
      <c r="D291">
        <v>819747</v>
      </c>
      <c r="E291">
        <v>18</v>
      </c>
      <c r="F291">
        <v>10</v>
      </c>
      <c r="G291" t="s">
        <v>3049</v>
      </c>
    </row>
    <row r="292" spans="1:7">
      <c r="A292" t="s">
        <v>3338</v>
      </c>
      <c r="B292" t="s">
        <v>73</v>
      </c>
      <c r="C292" t="s">
        <v>36</v>
      </c>
      <c r="D292">
        <v>758069</v>
      </c>
      <c r="E292">
        <v>6</v>
      </c>
      <c r="F292">
        <v>9</v>
      </c>
      <c r="G292" t="s">
        <v>3045</v>
      </c>
    </row>
    <row r="293" spans="1:7">
      <c r="A293" t="s">
        <v>3339</v>
      </c>
      <c r="B293" t="s">
        <v>42</v>
      </c>
      <c r="C293" t="s">
        <v>14</v>
      </c>
      <c r="D293">
        <v>73896</v>
      </c>
      <c r="E293">
        <v>9</v>
      </c>
      <c r="F293">
        <v>2</v>
      </c>
      <c r="G293" t="s">
        <v>3040</v>
      </c>
    </row>
    <row r="294" spans="1:7">
      <c r="A294" t="s">
        <v>3340</v>
      </c>
      <c r="B294" t="s">
        <v>42</v>
      </c>
      <c r="C294" t="s">
        <v>36</v>
      </c>
      <c r="D294">
        <v>303058</v>
      </c>
      <c r="E294">
        <v>5</v>
      </c>
      <c r="F294">
        <v>9</v>
      </c>
      <c r="G294" t="s">
        <v>3049</v>
      </c>
    </row>
    <row r="295" spans="1:7">
      <c r="A295" t="s">
        <v>3341</v>
      </c>
      <c r="B295" t="s">
        <v>30</v>
      </c>
      <c r="C295" t="s">
        <v>36</v>
      </c>
      <c r="D295">
        <v>863444</v>
      </c>
      <c r="E295">
        <v>12</v>
      </c>
      <c r="F295">
        <v>8</v>
      </c>
      <c r="G295" t="s">
        <v>3051</v>
      </c>
    </row>
    <row r="296" spans="1:7">
      <c r="A296" t="s">
        <v>3342</v>
      </c>
      <c r="B296" t="s">
        <v>15</v>
      </c>
      <c r="C296" t="s">
        <v>14</v>
      </c>
      <c r="D296">
        <v>725054</v>
      </c>
      <c r="E296">
        <v>6</v>
      </c>
      <c r="F296">
        <v>6</v>
      </c>
      <c r="G296" t="s">
        <v>3063</v>
      </c>
    </row>
    <row r="297" spans="1:7">
      <c r="A297" t="s">
        <v>3343</v>
      </c>
      <c r="B297" t="s">
        <v>30</v>
      </c>
      <c r="C297" t="s">
        <v>58</v>
      </c>
      <c r="D297">
        <v>899874</v>
      </c>
      <c r="E297">
        <v>10</v>
      </c>
      <c r="F297">
        <v>2</v>
      </c>
      <c r="G297" t="s">
        <v>3054</v>
      </c>
    </row>
    <row r="298" spans="1:7">
      <c r="A298" t="s">
        <v>3344</v>
      </c>
      <c r="B298" t="s">
        <v>30</v>
      </c>
      <c r="C298" t="s">
        <v>58</v>
      </c>
      <c r="D298">
        <v>193071</v>
      </c>
      <c r="E298">
        <v>16</v>
      </c>
      <c r="F298">
        <v>7</v>
      </c>
      <c r="G298" t="s">
        <v>3045</v>
      </c>
    </row>
    <row r="299" spans="1:7">
      <c r="A299" t="s">
        <v>3345</v>
      </c>
      <c r="B299" t="s">
        <v>42</v>
      </c>
      <c r="C299" t="s">
        <v>22</v>
      </c>
      <c r="D299">
        <v>535974</v>
      </c>
      <c r="E299">
        <v>7</v>
      </c>
      <c r="F299">
        <v>6</v>
      </c>
      <c r="G299" t="s">
        <v>3040</v>
      </c>
    </row>
    <row r="300" spans="1:7">
      <c r="A300" t="s">
        <v>3346</v>
      </c>
      <c r="B300" t="s">
        <v>23</v>
      </c>
      <c r="C300" t="s">
        <v>22</v>
      </c>
      <c r="D300">
        <v>631587</v>
      </c>
      <c r="E300">
        <v>1</v>
      </c>
      <c r="F300">
        <v>1</v>
      </c>
      <c r="G300" t="s">
        <v>3040</v>
      </c>
    </row>
    <row r="301" spans="1:7">
      <c r="A301" t="s">
        <v>3347</v>
      </c>
      <c r="B301" t="s">
        <v>23</v>
      </c>
      <c r="C301" t="s">
        <v>78</v>
      </c>
      <c r="D301">
        <v>250595</v>
      </c>
      <c r="E301">
        <v>16</v>
      </c>
      <c r="F301">
        <v>6</v>
      </c>
      <c r="G301" t="s">
        <v>3099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1"/>
  <sheetViews>
    <sheetView workbookViewId="0">
      <selection sqref="A1:G101"/>
    </sheetView>
  </sheetViews>
  <sheetFormatPr defaultRowHeight="15"/>
  <cols>
    <col min="1" max="1" width="15" bestFit="1" customWidth="1"/>
    <col min="2" max="2" width="19.140625" bestFit="1" customWidth="1"/>
    <col min="3" max="3" width="9.42578125" bestFit="1" customWidth="1"/>
    <col min="4" max="4" width="18.7109375" bestFit="1" customWidth="1"/>
    <col min="5" max="5" width="14" bestFit="1" customWidth="1"/>
    <col min="6" max="6" width="18.28515625" bestFit="1" customWidth="1"/>
  </cols>
  <sheetData>
    <row r="1" spans="1:7">
      <c r="A1" s="1" t="s">
        <v>3348</v>
      </c>
      <c r="B1" s="1" t="s">
        <v>3349</v>
      </c>
      <c r="C1" s="1" t="s">
        <v>3350</v>
      </c>
      <c r="D1" s="1" t="s">
        <v>3351</v>
      </c>
      <c r="E1" s="1" t="s">
        <v>3352</v>
      </c>
      <c r="F1" s="1" t="s">
        <v>3353</v>
      </c>
      <c r="G1" s="1" t="s">
        <v>3030</v>
      </c>
    </row>
    <row r="2" spans="1:7">
      <c r="A2" t="s">
        <v>3354</v>
      </c>
      <c r="B2" t="s">
        <v>3355</v>
      </c>
      <c r="C2">
        <v>366895</v>
      </c>
      <c r="D2">
        <v>64</v>
      </c>
      <c r="E2">
        <v>32</v>
      </c>
      <c r="F2">
        <v>50</v>
      </c>
      <c r="G2" t="s">
        <v>3063</v>
      </c>
    </row>
    <row r="3" spans="1:7">
      <c r="A3" t="s">
        <v>3356</v>
      </c>
      <c r="B3" t="s">
        <v>3355</v>
      </c>
      <c r="C3">
        <v>473132</v>
      </c>
      <c r="D3">
        <v>271</v>
      </c>
      <c r="E3">
        <v>34</v>
      </c>
      <c r="F3">
        <v>12.55</v>
      </c>
      <c r="G3" t="s">
        <v>3038</v>
      </c>
    </row>
    <row r="4" spans="1:7">
      <c r="A4" t="s">
        <v>3357</v>
      </c>
      <c r="B4" t="s">
        <v>3358</v>
      </c>
      <c r="C4">
        <v>473103</v>
      </c>
      <c r="D4">
        <v>124</v>
      </c>
      <c r="E4">
        <v>26</v>
      </c>
      <c r="F4">
        <v>20.97</v>
      </c>
      <c r="G4" t="s">
        <v>3038</v>
      </c>
    </row>
    <row r="5" spans="1:7">
      <c r="A5" t="s">
        <v>3359</v>
      </c>
      <c r="B5" t="s">
        <v>3358</v>
      </c>
      <c r="C5">
        <v>216500</v>
      </c>
      <c r="D5">
        <v>387</v>
      </c>
      <c r="E5">
        <v>29</v>
      </c>
      <c r="F5">
        <v>7.49</v>
      </c>
      <c r="G5" t="s">
        <v>3065</v>
      </c>
    </row>
    <row r="6" spans="1:7">
      <c r="A6" t="s">
        <v>3360</v>
      </c>
      <c r="B6" t="s">
        <v>3361</v>
      </c>
      <c r="C6">
        <v>348579</v>
      </c>
      <c r="D6">
        <v>97</v>
      </c>
      <c r="E6">
        <v>33</v>
      </c>
      <c r="F6">
        <v>34.020000000000003</v>
      </c>
      <c r="G6" t="s">
        <v>3043</v>
      </c>
    </row>
    <row r="7" spans="1:7">
      <c r="A7" t="s">
        <v>3362</v>
      </c>
      <c r="B7" t="s">
        <v>3358</v>
      </c>
      <c r="C7">
        <v>180502</v>
      </c>
      <c r="D7">
        <v>451</v>
      </c>
      <c r="E7">
        <v>112</v>
      </c>
      <c r="F7">
        <v>24.83</v>
      </c>
      <c r="G7" t="s">
        <v>3051</v>
      </c>
    </row>
    <row r="8" spans="1:7">
      <c r="A8" t="s">
        <v>3363</v>
      </c>
      <c r="B8" t="s">
        <v>3364</v>
      </c>
      <c r="C8">
        <v>169432</v>
      </c>
      <c r="D8">
        <v>390</v>
      </c>
      <c r="E8">
        <v>85</v>
      </c>
      <c r="F8">
        <v>21.79</v>
      </c>
      <c r="G8" t="s">
        <v>3035</v>
      </c>
    </row>
    <row r="9" spans="1:7">
      <c r="A9" t="s">
        <v>3365</v>
      </c>
      <c r="B9" t="s">
        <v>3361</v>
      </c>
      <c r="C9">
        <v>85840</v>
      </c>
      <c r="D9">
        <v>403</v>
      </c>
      <c r="E9">
        <v>166</v>
      </c>
      <c r="F9">
        <v>41.19</v>
      </c>
      <c r="G9" t="s">
        <v>3051</v>
      </c>
    </row>
    <row r="10" spans="1:7">
      <c r="A10" t="s">
        <v>3366</v>
      </c>
      <c r="B10" t="s">
        <v>3364</v>
      </c>
      <c r="C10">
        <v>358171</v>
      </c>
      <c r="D10">
        <v>373</v>
      </c>
      <c r="E10">
        <v>152</v>
      </c>
      <c r="F10">
        <v>40.75</v>
      </c>
      <c r="G10" t="s">
        <v>3085</v>
      </c>
    </row>
    <row r="11" spans="1:7">
      <c r="A11" t="s">
        <v>3367</v>
      </c>
      <c r="B11" t="s">
        <v>3358</v>
      </c>
      <c r="C11">
        <v>407142</v>
      </c>
      <c r="D11">
        <v>440</v>
      </c>
      <c r="E11">
        <v>12</v>
      </c>
      <c r="F11">
        <v>2.73</v>
      </c>
      <c r="G11" t="s">
        <v>3038</v>
      </c>
    </row>
    <row r="12" spans="1:7">
      <c r="A12" t="s">
        <v>3368</v>
      </c>
      <c r="B12" t="s">
        <v>3361</v>
      </c>
      <c r="C12">
        <v>353639</v>
      </c>
      <c r="D12">
        <v>59</v>
      </c>
      <c r="E12">
        <v>15</v>
      </c>
      <c r="F12">
        <v>25.42</v>
      </c>
      <c r="G12" t="s">
        <v>3085</v>
      </c>
    </row>
    <row r="13" spans="1:7">
      <c r="A13" t="s">
        <v>3369</v>
      </c>
      <c r="B13" t="s">
        <v>3370</v>
      </c>
      <c r="C13">
        <v>479399</v>
      </c>
      <c r="D13">
        <v>318</v>
      </c>
      <c r="E13">
        <v>87</v>
      </c>
      <c r="F13">
        <v>27.36</v>
      </c>
      <c r="G13" t="s">
        <v>3058</v>
      </c>
    </row>
    <row r="14" spans="1:7">
      <c r="A14" t="s">
        <v>3371</v>
      </c>
      <c r="B14" t="s">
        <v>3370</v>
      </c>
      <c r="C14">
        <v>145361</v>
      </c>
      <c r="D14">
        <v>248</v>
      </c>
      <c r="E14">
        <v>73</v>
      </c>
      <c r="F14">
        <v>29.44</v>
      </c>
      <c r="G14" t="s">
        <v>3045</v>
      </c>
    </row>
    <row r="15" spans="1:7">
      <c r="A15" t="s">
        <v>3372</v>
      </c>
      <c r="B15" t="s">
        <v>3364</v>
      </c>
      <c r="C15">
        <v>157457</v>
      </c>
      <c r="D15">
        <v>310</v>
      </c>
      <c r="E15">
        <v>50</v>
      </c>
      <c r="F15">
        <v>16.13</v>
      </c>
      <c r="G15" t="s">
        <v>3035</v>
      </c>
    </row>
    <row r="16" spans="1:7">
      <c r="A16" t="s">
        <v>3373</v>
      </c>
      <c r="B16" t="s">
        <v>3370</v>
      </c>
      <c r="C16">
        <v>322200</v>
      </c>
      <c r="D16">
        <v>273</v>
      </c>
      <c r="E16">
        <v>96</v>
      </c>
      <c r="F16">
        <v>35.159999999999997</v>
      </c>
      <c r="G16" t="s">
        <v>3063</v>
      </c>
    </row>
    <row r="17" spans="1:7">
      <c r="A17" t="s">
        <v>3374</v>
      </c>
      <c r="B17" t="s">
        <v>3355</v>
      </c>
      <c r="C17">
        <v>232282</v>
      </c>
      <c r="D17">
        <v>416</v>
      </c>
      <c r="E17">
        <v>58</v>
      </c>
      <c r="F17">
        <v>13.94</v>
      </c>
      <c r="G17" t="s">
        <v>3032</v>
      </c>
    </row>
    <row r="18" spans="1:7">
      <c r="A18" t="s">
        <v>3375</v>
      </c>
      <c r="B18" t="s">
        <v>3370</v>
      </c>
      <c r="C18">
        <v>402869</v>
      </c>
      <c r="D18">
        <v>370</v>
      </c>
      <c r="E18">
        <v>43</v>
      </c>
      <c r="F18">
        <v>11.62</v>
      </c>
      <c r="G18" t="s">
        <v>3063</v>
      </c>
    </row>
    <row r="19" spans="1:7">
      <c r="A19" t="s">
        <v>3376</v>
      </c>
      <c r="B19" t="s">
        <v>3361</v>
      </c>
      <c r="C19">
        <v>231746</v>
      </c>
      <c r="D19">
        <v>86</v>
      </c>
      <c r="E19">
        <v>42</v>
      </c>
      <c r="F19">
        <v>48.84</v>
      </c>
      <c r="G19" t="s">
        <v>3038</v>
      </c>
    </row>
    <row r="20" spans="1:7">
      <c r="A20" t="s">
        <v>3377</v>
      </c>
      <c r="B20" t="s">
        <v>3361</v>
      </c>
      <c r="C20">
        <v>345120</v>
      </c>
      <c r="D20">
        <v>246</v>
      </c>
      <c r="E20">
        <v>78</v>
      </c>
      <c r="F20">
        <v>31.71</v>
      </c>
      <c r="G20" t="s">
        <v>3060</v>
      </c>
    </row>
    <row r="21" spans="1:7">
      <c r="A21" t="s">
        <v>3378</v>
      </c>
      <c r="B21" t="s">
        <v>3370</v>
      </c>
      <c r="C21">
        <v>339600</v>
      </c>
      <c r="D21">
        <v>231</v>
      </c>
      <c r="E21">
        <v>62</v>
      </c>
      <c r="F21">
        <v>26.84</v>
      </c>
      <c r="G21" t="s">
        <v>3051</v>
      </c>
    </row>
    <row r="22" spans="1:7">
      <c r="A22" t="s">
        <v>3379</v>
      </c>
      <c r="B22" t="s">
        <v>3361</v>
      </c>
      <c r="C22">
        <v>310516</v>
      </c>
      <c r="D22">
        <v>67</v>
      </c>
      <c r="E22">
        <v>21</v>
      </c>
      <c r="F22">
        <v>31.34</v>
      </c>
      <c r="G22" t="s">
        <v>3058</v>
      </c>
    </row>
    <row r="23" spans="1:7">
      <c r="A23" t="s">
        <v>3380</v>
      </c>
      <c r="B23" t="s">
        <v>3361</v>
      </c>
      <c r="C23">
        <v>275599</v>
      </c>
      <c r="D23">
        <v>362</v>
      </c>
      <c r="E23">
        <v>68</v>
      </c>
      <c r="F23">
        <v>18.78</v>
      </c>
      <c r="G23" t="s">
        <v>3032</v>
      </c>
    </row>
    <row r="24" spans="1:7">
      <c r="A24" t="s">
        <v>3381</v>
      </c>
      <c r="B24" t="s">
        <v>3364</v>
      </c>
      <c r="C24">
        <v>201402</v>
      </c>
      <c r="D24">
        <v>262</v>
      </c>
      <c r="E24">
        <v>75</v>
      </c>
      <c r="F24">
        <v>28.63</v>
      </c>
      <c r="G24" t="s">
        <v>3085</v>
      </c>
    </row>
    <row r="25" spans="1:7">
      <c r="A25" t="s">
        <v>3382</v>
      </c>
      <c r="B25" t="s">
        <v>3364</v>
      </c>
      <c r="C25">
        <v>438427</v>
      </c>
      <c r="D25">
        <v>401</v>
      </c>
      <c r="E25">
        <v>122</v>
      </c>
      <c r="F25">
        <v>30.42</v>
      </c>
      <c r="G25" t="s">
        <v>3049</v>
      </c>
    </row>
    <row r="26" spans="1:7">
      <c r="A26" t="s">
        <v>3383</v>
      </c>
      <c r="B26" t="s">
        <v>3358</v>
      </c>
      <c r="C26">
        <v>174341</v>
      </c>
      <c r="D26">
        <v>255</v>
      </c>
      <c r="E26">
        <v>82</v>
      </c>
      <c r="F26">
        <v>32.159999999999997</v>
      </c>
      <c r="G26" t="s">
        <v>3065</v>
      </c>
    </row>
    <row r="27" spans="1:7">
      <c r="A27" t="s">
        <v>3384</v>
      </c>
      <c r="B27" t="s">
        <v>3358</v>
      </c>
      <c r="C27">
        <v>479565</v>
      </c>
      <c r="D27">
        <v>112</v>
      </c>
      <c r="E27">
        <v>19</v>
      </c>
      <c r="F27">
        <v>16.96</v>
      </c>
      <c r="G27" t="s">
        <v>3056</v>
      </c>
    </row>
    <row r="28" spans="1:7">
      <c r="A28" t="s">
        <v>3385</v>
      </c>
      <c r="B28" t="s">
        <v>3361</v>
      </c>
      <c r="C28">
        <v>240525</v>
      </c>
      <c r="D28">
        <v>203</v>
      </c>
      <c r="E28">
        <v>33</v>
      </c>
      <c r="F28">
        <v>16.260000000000002</v>
      </c>
      <c r="G28" t="s">
        <v>3051</v>
      </c>
    </row>
    <row r="29" spans="1:7">
      <c r="A29" t="s">
        <v>3386</v>
      </c>
      <c r="B29" t="s">
        <v>3364</v>
      </c>
      <c r="C29">
        <v>459106</v>
      </c>
      <c r="D29">
        <v>83</v>
      </c>
      <c r="E29">
        <v>17</v>
      </c>
      <c r="F29">
        <v>20.48</v>
      </c>
      <c r="G29" t="s">
        <v>3054</v>
      </c>
    </row>
    <row r="30" spans="1:7">
      <c r="A30" t="s">
        <v>3387</v>
      </c>
      <c r="B30" t="s">
        <v>3364</v>
      </c>
      <c r="C30">
        <v>80601</v>
      </c>
      <c r="D30">
        <v>113</v>
      </c>
      <c r="E30">
        <v>23</v>
      </c>
      <c r="F30">
        <v>20.350000000000001</v>
      </c>
      <c r="G30" t="s">
        <v>3045</v>
      </c>
    </row>
    <row r="31" spans="1:7">
      <c r="A31" t="s">
        <v>3388</v>
      </c>
      <c r="B31" t="s">
        <v>3361</v>
      </c>
      <c r="C31">
        <v>217031</v>
      </c>
      <c r="D31">
        <v>252</v>
      </c>
      <c r="E31">
        <v>25</v>
      </c>
      <c r="F31">
        <v>9.92</v>
      </c>
      <c r="G31" t="s">
        <v>3051</v>
      </c>
    </row>
    <row r="32" spans="1:7">
      <c r="A32" t="s">
        <v>3389</v>
      </c>
      <c r="B32" t="s">
        <v>3364</v>
      </c>
      <c r="C32">
        <v>444064</v>
      </c>
      <c r="D32">
        <v>106</v>
      </c>
      <c r="E32">
        <v>50</v>
      </c>
      <c r="F32">
        <v>47.17</v>
      </c>
      <c r="G32" t="s">
        <v>3045</v>
      </c>
    </row>
    <row r="33" spans="1:7">
      <c r="A33" t="s">
        <v>3390</v>
      </c>
      <c r="B33" t="s">
        <v>3361</v>
      </c>
      <c r="C33">
        <v>439237</v>
      </c>
      <c r="D33">
        <v>86</v>
      </c>
      <c r="E33">
        <v>22</v>
      </c>
      <c r="F33">
        <v>25.58</v>
      </c>
      <c r="G33" t="s">
        <v>3056</v>
      </c>
    </row>
    <row r="34" spans="1:7">
      <c r="A34" t="s">
        <v>3391</v>
      </c>
      <c r="B34" t="s">
        <v>3370</v>
      </c>
      <c r="C34">
        <v>464208</v>
      </c>
      <c r="D34">
        <v>411</v>
      </c>
      <c r="E34">
        <v>41</v>
      </c>
      <c r="F34">
        <v>9.98</v>
      </c>
      <c r="G34" t="s">
        <v>3032</v>
      </c>
    </row>
    <row r="35" spans="1:7">
      <c r="A35" t="s">
        <v>3392</v>
      </c>
      <c r="B35" t="s">
        <v>3361</v>
      </c>
      <c r="C35">
        <v>483177</v>
      </c>
      <c r="D35">
        <v>52</v>
      </c>
      <c r="E35">
        <v>20</v>
      </c>
      <c r="F35">
        <v>38.46</v>
      </c>
      <c r="G35" t="s">
        <v>3045</v>
      </c>
    </row>
    <row r="36" spans="1:7">
      <c r="A36" t="s">
        <v>3393</v>
      </c>
      <c r="B36" t="s">
        <v>3361</v>
      </c>
      <c r="C36">
        <v>186716</v>
      </c>
      <c r="D36">
        <v>177</v>
      </c>
      <c r="E36">
        <v>13</v>
      </c>
      <c r="F36">
        <v>7.34</v>
      </c>
      <c r="G36" t="s">
        <v>3065</v>
      </c>
    </row>
    <row r="37" spans="1:7">
      <c r="A37" t="s">
        <v>3394</v>
      </c>
      <c r="B37" t="s">
        <v>3370</v>
      </c>
      <c r="C37">
        <v>318593</v>
      </c>
      <c r="D37">
        <v>69</v>
      </c>
      <c r="E37">
        <v>14</v>
      </c>
      <c r="F37">
        <v>20.29</v>
      </c>
      <c r="G37" t="s">
        <v>3032</v>
      </c>
    </row>
    <row r="38" spans="1:7">
      <c r="A38" t="s">
        <v>3395</v>
      </c>
      <c r="B38" t="s">
        <v>3361</v>
      </c>
      <c r="C38">
        <v>88352</v>
      </c>
      <c r="D38">
        <v>296</v>
      </c>
      <c r="E38">
        <v>55</v>
      </c>
      <c r="F38">
        <v>18.579999999999998</v>
      </c>
      <c r="G38" t="s">
        <v>3038</v>
      </c>
    </row>
    <row r="39" spans="1:7">
      <c r="A39" t="s">
        <v>3396</v>
      </c>
      <c r="B39" t="s">
        <v>3355</v>
      </c>
      <c r="C39">
        <v>167595</v>
      </c>
      <c r="D39">
        <v>219</v>
      </c>
      <c r="E39">
        <v>95</v>
      </c>
      <c r="F39">
        <v>43.38</v>
      </c>
      <c r="G39" t="s">
        <v>3045</v>
      </c>
    </row>
    <row r="40" spans="1:7">
      <c r="A40" t="s">
        <v>3397</v>
      </c>
      <c r="B40" t="s">
        <v>3364</v>
      </c>
      <c r="C40">
        <v>157385</v>
      </c>
      <c r="D40">
        <v>423</v>
      </c>
      <c r="E40">
        <v>67</v>
      </c>
      <c r="F40">
        <v>15.84</v>
      </c>
      <c r="G40" t="s">
        <v>3075</v>
      </c>
    </row>
    <row r="41" spans="1:7">
      <c r="A41" t="s">
        <v>3398</v>
      </c>
      <c r="B41" t="s">
        <v>3355</v>
      </c>
      <c r="C41">
        <v>177394</v>
      </c>
      <c r="D41">
        <v>57</v>
      </c>
      <c r="E41">
        <v>25</v>
      </c>
      <c r="F41">
        <v>43.86</v>
      </c>
      <c r="G41" t="s">
        <v>3056</v>
      </c>
    </row>
    <row r="42" spans="1:7">
      <c r="A42" t="s">
        <v>3399</v>
      </c>
      <c r="B42" t="s">
        <v>3358</v>
      </c>
      <c r="C42">
        <v>199658</v>
      </c>
      <c r="D42">
        <v>63</v>
      </c>
      <c r="E42">
        <v>13</v>
      </c>
      <c r="F42">
        <v>20.63</v>
      </c>
      <c r="G42" t="s">
        <v>3049</v>
      </c>
    </row>
    <row r="43" spans="1:7">
      <c r="A43" t="s">
        <v>3400</v>
      </c>
      <c r="B43" t="s">
        <v>3355</v>
      </c>
      <c r="C43">
        <v>234950</v>
      </c>
      <c r="D43">
        <v>492</v>
      </c>
      <c r="E43">
        <v>29</v>
      </c>
      <c r="F43">
        <v>5.89</v>
      </c>
      <c r="G43" t="s">
        <v>3040</v>
      </c>
    </row>
    <row r="44" spans="1:7">
      <c r="A44" t="s">
        <v>3401</v>
      </c>
      <c r="B44" t="s">
        <v>3358</v>
      </c>
      <c r="C44">
        <v>63446</v>
      </c>
      <c r="D44">
        <v>369</v>
      </c>
      <c r="E44">
        <v>107</v>
      </c>
      <c r="F44">
        <v>29</v>
      </c>
      <c r="G44" t="s">
        <v>3058</v>
      </c>
    </row>
    <row r="45" spans="1:7">
      <c r="A45" t="s">
        <v>3402</v>
      </c>
      <c r="B45" t="s">
        <v>3355</v>
      </c>
      <c r="C45">
        <v>493995</v>
      </c>
      <c r="D45">
        <v>269</v>
      </c>
      <c r="E45">
        <v>129</v>
      </c>
      <c r="F45">
        <v>47.96</v>
      </c>
      <c r="G45" t="s">
        <v>3056</v>
      </c>
    </row>
    <row r="46" spans="1:7">
      <c r="A46" t="s">
        <v>3403</v>
      </c>
      <c r="B46" t="s">
        <v>3361</v>
      </c>
      <c r="C46">
        <v>53121</v>
      </c>
      <c r="D46">
        <v>56</v>
      </c>
      <c r="E46">
        <v>21</v>
      </c>
      <c r="F46">
        <v>37.5</v>
      </c>
      <c r="G46" t="s">
        <v>3058</v>
      </c>
    </row>
    <row r="47" spans="1:7">
      <c r="A47" t="s">
        <v>3404</v>
      </c>
      <c r="B47" t="s">
        <v>3370</v>
      </c>
      <c r="C47">
        <v>458468</v>
      </c>
      <c r="D47">
        <v>465</v>
      </c>
      <c r="E47">
        <v>98</v>
      </c>
      <c r="F47">
        <v>21.08</v>
      </c>
      <c r="G47" t="s">
        <v>3099</v>
      </c>
    </row>
    <row r="48" spans="1:7">
      <c r="A48" t="s">
        <v>3405</v>
      </c>
      <c r="B48" t="s">
        <v>3370</v>
      </c>
      <c r="C48">
        <v>376658</v>
      </c>
      <c r="D48">
        <v>276</v>
      </c>
      <c r="E48">
        <v>51</v>
      </c>
      <c r="F48">
        <v>18.48</v>
      </c>
      <c r="G48" t="s">
        <v>3085</v>
      </c>
    </row>
    <row r="49" spans="1:7">
      <c r="A49" t="s">
        <v>3406</v>
      </c>
      <c r="B49" t="s">
        <v>3355</v>
      </c>
      <c r="C49">
        <v>280489</v>
      </c>
      <c r="D49">
        <v>78</v>
      </c>
      <c r="E49">
        <v>34</v>
      </c>
      <c r="F49">
        <v>43.59</v>
      </c>
      <c r="G49" t="s">
        <v>3051</v>
      </c>
    </row>
    <row r="50" spans="1:7">
      <c r="A50" t="s">
        <v>3407</v>
      </c>
      <c r="B50" t="s">
        <v>3355</v>
      </c>
      <c r="C50">
        <v>310519</v>
      </c>
      <c r="D50">
        <v>73</v>
      </c>
      <c r="E50">
        <v>34</v>
      </c>
      <c r="F50">
        <v>46.58</v>
      </c>
      <c r="G50" t="s">
        <v>3035</v>
      </c>
    </row>
    <row r="51" spans="1:7">
      <c r="A51" t="s">
        <v>3408</v>
      </c>
      <c r="B51" t="s">
        <v>3361</v>
      </c>
      <c r="C51">
        <v>314266</v>
      </c>
      <c r="D51">
        <v>84</v>
      </c>
      <c r="E51">
        <v>11</v>
      </c>
      <c r="F51">
        <v>13.1</v>
      </c>
      <c r="G51" t="s">
        <v>3035</v>
      </c>
    </row>
    <row r="52" spans="1:7">
      <c r="A52" t="s">
        <v>3409</v>
      </c>
      <c r="B52" t="s">
        <v>3364</v>
      </c>
      <c r="C52">
        <v>402308</v>
      </c>
      <c r="D52">
        <v>492</v>
      </c>
      <c r="E52">
        <v>173</v>
      </c>
      <c r="F52">
        <v>35.159999999999997</v>
      </c>
      <c r="G52" t="s">
        <v>3051</v>
      </c>
    </row>
    <row r="53" spans="1:7">
      <c r="A53" t="s">
        <v>3410</v>
      </c>
      <c r="B53" t="s">
        <v>3364</v>
      </c>
      <c r="C53">
        <v>495758</v>
      </c>
      <c r="D53">
        <v>411</v>
      </c>
      <c r="E53">
        <v>164</v>
      </c>
      <c r="F53">
        <v>39.9</v>
      </c>
      <c r="G53" t="s">
        <v>3043</v>
      </c>
    </row>
    <row r="54" spans="1:7">
      <c r="A54" t="s">
        <v>3411</v>
      </c>
      <c r="B54" t="s">
        <v>3355</v>
      </c>
      <c r="C54">
        <v>401502</v>
      </c>
      <c r="D54">
        <v>405</v>
      </c>
      <c r="E54">
        <v>54</v>
      </c>
      <c r="F54">
        <v>13.33</v>
      </c>
      <c r="G54" t="s">
        <v>3060</v>
      </c>
    </row>
    <row r="55" spans="1:7">
      <c r="A55" t="s">
        <v>3412</v>
      </c>
      <c r="B55" t="s">
        <v>3355</v>
      </c>
      <c r="C55">
        <v>281290</v>
      </c>
      <c r="D55">
        <v>302</v>
      </c>
      <c r="E55">
        <v>125</v>
      </c>
      <c r="F55">
        <v>41.39</v>
      </c>
      <c r="G55" t="s">
        <v>3038</v>
      </c>
    </row>
    <row r="56" spans="1:7">
      <c r="A56" t="s">
        <v>3413</v>
      </c>
      <c r="B56" t="s">
        <v>3364</v>
      </c>
      <c r="C56">
        <v>499139</v>
      </c>
      <c r="D56">
        <v>462</v>
      </c>
      <c r="E56">
        <v>157</v>
      </c>
      <c r="F56">
        <v>33.979999999999997</v>
      </c>
      <c r="G56" t="s">
        <v>3075</v>
      </c>
    </row>
    <row r="57" spans="1:7">
      <c r="A57" t="s">
        <v>3414</v>
      </c>
      <c r="B57" t="s">
        <v>3361</v>
      </c>
      <c r="C57">
        <v>299730</v>
      </c>
      <c r="D57">
        <v>109</v>
      </c>
      <c r="E57">
        <v>10</v>
      </c>
      <c r="F57">
        <v>9.17</v>
      </c>
      <c r="G57" t="s">
        <v>3038</v>
      </c>
    </row>
    <row r="58" spans="1:7">
      <c r="A58" t="s">
        <v>3415</v>
      </c>
      <c r="B58" t="s">
        <v>3361</v>
      </c>
      <c r="C58">
        <v>415251</v>
      </c>
      <c r="D58">
        <v>282</v>
      </c>
      <c r="E58">
        <v>59</v>
      </c>
      <c r="F58">
        <v>20.92</v>
      </c>
      <c r="G58" t="s">
        <v>3085</v>
      </c>
    </row>
    <row r="59" spans="1:7">
      <c r="A59" t="s">
        <v>3416</v>
      </c>
      <c r="B59" t="s">
        <v>3358</v>
      </c>
      <c r="C59">
        <v>219057</v>
      </c>
      <c r="D59">
        <v>446</v>
      </c>
      <c r="E59">
        <v>133</v>
      </c>
      <c r="F59">
        <v>29.82</v>
      </c>
      <c r="G59" t="s">
        <v>3040</v>
      </c>
    </row>
    <row r="60" spans="1:7">
      <c r="A60" t="s">
        <v>3417</v>
      </c>
      <c r="B60" t="s">
        <v>3355</v>
      </c>
      <c r="C60">
        <v>99970</v>
      </c>
      <c r="D60">
        <v>455</v>
      </c>
      <c r="E60">
        <v>36</v>
      </c>
      <c r="F60">
        <v>7.91</v>
      </c>
      <c r="G60" t="s">
        <v>3056</v>
      </c>
    </row>
    <row r="61" spans="1:7">
      <c r="A61" t="s">
        <v>3418</v>
      </c>
      <c r="B61" t="s">
        <v>3364</v>
      </c>
      <c r="C61">
        <v>327088</v>
      </c>
      <c r="D61">
        <v>107</v>
      </c>
      <c r="E61">
        <v>34</v>
      </c>
      <c r="F61">
        <v>31.78</v>
      </c>
      <c r="G61" t="s">
        <v>3056</v>
      </c>
    </row>
    <row r="62" spans="1:7">
      <c r="A62" t="s">
        <v>3419</v>
      </c>
      <c r="B62" t="s">
        <v>3364</v>
      </c>
      <c r="C62">
        <v>153377</v>
      </c>
      <c r="D62">
        <v>451</v>
      </c>
      <c r="E62">
        <v>126</v>
      </c>
      <c r="F62">
        <v>27.94</v>
      </c>
      <c r="G62" t="s">
        <v>3045</v>
      </c>
    </row>
    <row r="63" spans="1:7">
      <c r="A63" t="s">
        <v>3420</v>
      </c>
      <c r="B63" t="s">
        <v>3370</v>
      </c>
      <c r="C63">
        <v>441899</v>
      </c>
      <c r="D63">
        <v>220</v>
      </c>
      <c r="E63">
        <v>71</v>
      </c>
      <c r="F63">
        <v>32.270000000000003</v>
      </c>
      <c r="G63" t="s">
        <v>3063</v>
      </c>
    </row>
    <row r="64" spans="1:7">
      <c r="A64" t="s">
        <v>3421</v>
      </c>
      <c r="B64" t="s">
        <v>3364</v>
      </c>
      <c r="C64">
        <v>494354</v>
      </c>
      <c r="D64">
        <v>194</v>
      </c>
      <c r="E64">
        <v>71</v>
      </c>
      <c r="F64">
        <v>36.6</v>
      </c>
      <c r="G64" t="s">
        <v>3099</v>
      </c>
    </row>
    <row r="65" spans="1:7">
      <c r="A65" t="s">
        <v>3422</v>
      </c>
      <c r="B65" t="s">
        <v>3358</v>
      </c>
      <c r="C65">
        <v>409035</v>
      </c>
      <c r="D65">
        <v>343</v>
      </c>
      <c r="E65">
        <v>20</v>
      </c>
      <c r="F65">
        <v>5.83</v>
      </c>
      <c r="G65" t="s">
        <v>3040</v>
      </c>
    </row>
    <row r="66" spans="1:7">
      <c r="A66" t="s">
        <v>3423</v>
      </c>
      <c r="B66" t="s">
        <v>3364</v>
      </c>
      <c r="C66">
        <v>336979</v>
      </c>
      <c r="D66">
        <v>399</v>
      </c>
      <c r="E66">
        <v>17</v>
      </c>
      <c r="F66">
        <v>4.26</v>
      </c>
      <c r="G66" t="s">
        <v>3051</v>
      </c>
    </row>
    <row r="67" spans="1:7">
      <c r="A67" t="s">
        <v>3424</v>
      </c>
      <c r="B67" t="s">
        <v>3370</v>
      </c>
      <c r="C67">
        <v>463739</v>
      </c>
      <c r="D67">
        <v>437</v>
      </c>
      <c r="E67">
        <v>53</v>
      </c>
      <c r="F67">
        <v>12.13</v>
      </c>
      <c r="G67" t="s">
        <v>3056</v>
      </c>
    </row>
    <row r="68" spans="1:7">
      <c r="A68" t="s">
        <v>3425</v>
      </c>
      <c r="B68" t="s">
        <v>3361</v>
      </c>
      <c r="C68">
        <v>133874</v>
      </c>
      <c r="D68">
        <v>173</v>
      </c>
      <c r="E68">
        <v>57</v>
      </c>
      <c r="F68">
        <v>32.950000000000003</v>
      </c>
      <c r="G68" t="s">
        <v>3063</v>
      </c>
    </row>
    <row r="69" spans="1:7">
      <c r="A69" t="s">
        <v>3426</v>
      </c>
      <c r="B69" t="s">
        <v>3361</v>
      </c>
      <c r="C69">
        <v>466643</v>
      </c>
      <c r="D69">
        <v>340</v>
      </c>
      <c r="E69">
        <v>88</v>
      </c>
      <c r="F69">
        <v>25.88</v>
      </c>
      <c r="G69" t="s">
        <v>3085</v>
      </c>
    </row>
    <row r="70" spans="1:7">
      <c r="A70" t="s">
        <v>3427</v>
      </c>
      <c r="B70" t="s">
        <v>3355</v>
      </c>
      <c r="C70">
        <v>111348</v>
      </c>
      <c r="D70">
        <v>165</v>
      </c>
      <c r="E70">
        <v>47</v>
      </c>
      <c r="F70">
        <v>28.48</v>
      </c>
      <c r="G70" t="s">
        <v>3085</v>
      </c>
    </row>
    <row r="71" spans="1:7">
      <c r="A71" t="s">
        <v>3428</v>
      </c>
      <c r="B71" t="s">
        <v>3355</v>
      </c>
      <c r="C71">
        <v>154928</v>
      </c>
      <c r="D71">
        <v>472</v>
      </c>
      <c r="E71">
        <v>36</v>
      </c>
      <c r="F71">
        <v>7.63</v>
      </c>
      <c r="G71" t="s">
        <v>3099</v>
      </c>
    </row>
    <row r="72" spans="1:7">
      <c r="A72" t="s">
        <v>3429</v>
      </c>
      <c r="B72" t="s">
        <v>3355</v>
      </c>
      <c r="C72">
        <v>399287</v>
      </c>
      <c r="D72">
        <v>344</v>
      </c>
      <c r="E72">
        <v>113</v>
      </c>
      <c r="F72">
        <v>32.85</v>
      </c>
      <c r="G72" t="s">
        <v>3060</v>
      </c>
    </row>
    <row r="73" spans="1:7">
      <c r="A73" t="s">
        <v>3430</v>
      </c>
      <c r="B73" t="s">
        <v>3364</v>
      </c>
      <c r="C73">
        <v>363296</v>
      </c>
      <c r="D73">
        <v>176</v>
      </c>
      <c r="E73">
        <v>52</v>
      </c>
      <c r="F73">
        <v>29.55</v>
      </c>
      <c r="G73" t="s">
        <v>3032</v>
      </c>
    </row>
    <row r="74" spans="1:7">
      <c r="A74" t="s">
        <v>3431</v>
      </c>
      <c r="B74" t="s">
        <v>3370</v>
      </c>
      <c r="C74">
        <v>319252</v>
      </c>
      <c r="D74">
        <v>66</v>
      </c>
      <c r="E74">
        <v>29</v>
      </c>
      <c r="F74">
        <v>43.94</v>
      </c>
      <c r="G74" t="s">
        <v>3035</v>
      </c>
    </row>
    <row r="75" spans="1:7">
      <c r="A75" t="s">
        <v>3432</v>
      </c>
      <c r="B75" t="s">
        <v>3355</v>
      </c>
      <c r="C75">
        <v>262725</v>
      </c>
      <c r="D75">
        <v>93</v>
      </c>
      <c r="E75">
        <v>38</v>
      </c>
      <c r="F75">
        <v>40.86</v>
      </c>
      <c r="G75" t="s">
        <v>3043</v>
      </c>
    </row>
    <row r="76" spans="1:7">
      <c r="A76" t="s">
        <v>3433</v>
      </c>
      <c r="B76" t="s">
        <v>3361</v>
      </c>
      <c r="C76">
        <v>164609</v>
      </c>
      <c r="D76">
        <v>87</v>
      </c>
      <c r="E76">
        <v>17</v>
      </c>
      <c r="F76">
        <v>19.54</v>
      </c>
      <c r="G76" t="s">
        <v>3056</v>
      </c>
    </row>
    <row r="77" spans="1:7">
      <c r="A77" t="s">
        <v>3434</v>
      </c>
      <c r="B77" t="s">
        <v>3370</v>
      </c>
      <c r="C77">
        <v>132794</v>
      </c>
      <c r="D77">
        <v>113</v>
      </c>
      <c r="E77">
        <v>29</v>
      </c>
      <c r="F77">
        <v>25.66</v>
      </c>
      <c r="G77" t="s">
        <v>3056</v>
      </c>
    </row>
    <row r="78" spans="1:7">
      <c r="A78" t="s">
        <v>3435</v>
      </c>
      <c r="B78" t="s">
        <v>3355</v>
      </c>
      <c r="C78">
        <v>345992</v>
      </c>
      <c r="D78">
        <v>73</v>
      </c>
      <c r="E78">
        <v>26</v>
      </c>
      <c r="F78">
        <v>35.619999999999997</v>
      </c>
      <c r="G78" t="s">
        <v>3075</v>
      </c>
    </row>
    <row r="79" spans="1:7">
      <c r="A79" t="s">
        <v>3436</v>
      </c>
      <c r="B79" t="s">
        <v>3355</v>
      </c>
      <c r="C79">
        <v>177842</v>
      </c>
      <c r="D79">
        <v>280</v>
      </c>
      <c r="E79">
        <v>59</v>
      </c>
      <c r="F79">
        <v>21.07</v>
      </c>
      <c r="G79" t="s">
        <v>3058</v>
      </c>
    </row>
    <row r="80" spans="1:7">
      <c r="A80" t="s">
        <v>3437</v>
      </c>
      <c r="B80" t="s">
        <v>3358</v>
      </c>
      <c r="C80">
        <v>439684</v>
      </c>
      <c r="D80">
        <v>194</v>
      </c>
      <c r="E80">
        <v>91</v>
      </c>
      <c r="F80">
        <v>46.91</v>
      </c>
      <c r="G80" t="s">
        <v>3085</v>
      </c>
    </row>
    <row r="81" spans="1:7">
      <c r="A81" t="s">
        <v>3438</v>
      </c>
      <c r="B81" t="s">
        <v>3370</v>
      </c>
      <c r="C81">
        <v>217802</v>
      </c>
      <c r="D81">
        <v>340</v>
      </c>
      <c r="E81">
        <v>14</v>
      </c>
      <c r="F81">
        <v>4.12</v>
      </c>
      <c r="G81" t="s">
        <v>3040</v>
      </c>
    </row>
    <row r="82" spans="1:7">
      <c r="A82" t="s">
        <v>3439</v>
      </c>
      <c r="B82" t="s">
        <v>3358</v>
      </c>
      <c r="C82">
        <v>94044</v>
      </c>
      <c r="D82">
        <v>273</v>
      </c>
      <c r="E82">
        <v>86</v>
      </c>
      <c r="F82">
        <v>31.5</v>
      </c>
      <c r="G82" t="s">
        <v>3056</v>
      </c>
    </row>
    <row r="83" spans="1:7">
      <c r="A83" t="s">
        <v>3440</v>
      </c>
      <c r="B83" t="s">
        <v>3370</v>
      </c>
      <c r="C83">
        <v>207836</v>
      </c>
      <c r="D83">
        <v>161</v>
      </c>
      <c r="E83">
        <v>27</v>
      </c>
      <c r="F83">
        <v>16.77</v>
      </c>
      <c r="G83" t="s">
        <v>3085</v>
      </c>
    </row>
    <row r="84" spans="1:7">
      <c r="A84" t="s">
        <v>3441</v>
      </c>
      <c r="B84" t="s">
        <v>3358</v>
      </c>
      <c r="C84">
        <v>312134</v>
      </c>
      <c r="D84">
        <v>312</v>
      </c>
      <c r="E84">
        <v>26</v>
      </c>
      <c r="F84">
        <v>8.33</v>
      </c>
      <c r="G84" t="s">
        <v>3038</v>
      </c>
    </row>
    <row r="85" spans="1:7">
      <c r="A85" t="s">
        <v>3442</v>
      </c>
      <c r="B85" t="s">
        <v>3355</v>
      </c>
      <c r="C85">
        <v>254055</v>
      </c>
      <c r="D85">
        <v>72</v>
      </c>
      <c r="E85">
        <v>17</v>
      </c>
      <c r="F85">
        <v>23.61</v>
      </c>
      <c r="G85" t="s">
        <v>3045</v>
      </c>
    </row>
    <row r="86" spans="1:7">
      <c r="A86" t="s">
        <v>3443</v>
      </c>
      <c r="B86" t="s">
        <v>3358</v>
      </c>
      <c r="C86">
        <v>446238</v>
      </c>
      <c r="D86">
        <v>483</v>
      </c>
      <c r="E86">
        <v>105</v>
      </c>
      <c r="F86">
        <v>21.74</v>
      </c>
      <c r="G86" t="s">
        <v>3056</v>
      </c>
    </row>
    <row r="87" spans="1:7">
      <c r="A87" t="s">
        <v>3444</v>
      </c>
      <c r="B87" t="s">
        <v>3358</v>
      </c>
      <c r="C87">
        <v>392218</v>
      </c>
      <c r="D87">
        <v>127</v>
      </c>
      <c r="E87">
        <v>6</v>
      </c>
      <c r="F87">
        <v>4.72</v>
      </c>
      <c r="G87" t="s">
        <v>3035</v>
      </c>
    </row>
    <row r="88" spans="1:7">
      <c r="A88" t="s">
        <v>3445</v>
      </c>
      <c r="B88" t="s">
        <v>3358</v>
      </c>
      <c r="C88">
        <v>211508</v>
      </c>
      <c r="D88">
        <v>461</v>
      </c>
      <c r="E88">
        <v>174</v>
      </c>
      <c r="F88">
        <v>37.74</v>
      </c>
      <c r="G88" t="s">
        <v>3085</v>
      </c>
    </row>
    <row r="89" spans="1:7">
      <c r="A89" t="s">
        <v>3446</v>
      </c>
      <c r="B89" t="s">
        <v>3358</v>
      </c>
      <c r="C89">
        <v>149473</v>
      </c>
      <c r="D89">
        <v>250</v>
      </c>
      <c r="E89">
        <v>19</v>
      </c>
      <c r="F89">
        <v>7.6</v>
      </c>
      <c r="G89" t="s">
        <v>3054</v>
      </c>
    </row>
    <row r="90" spans="1:7">
      <c r="A90" t="s">
        <v>3447</v>
      </c>
      <c r="B90" t="s">
        <v>3364</v>
      </c>
      <c r="C90">
        <v>137520</v>
      </c>
      <c r="D90">
        <v>236</v>
      </c>
      <c r="E90">
        <v>47</v>
      </c>
      <c r="F90">
        <v>19.920000000000002</v>
      </c>
      <c r="G90" t="s">
        <v>3032</v>
      </c>
    </row>
    <row r="91" spans="1:7">
      <c r="A91" t="s">
        <v>3448</v>
      </c>
      <c r="B91" t="s">
        <v>3370</v>
      </c>
      <c r="C91">
        <v>305873</v>
      </c>
      <c r="D91">
        <v>342</v>
      </c>
      <c r="E91">
        <v>40</v>
      </c>
      <c r="F91">
        <v>11.7</v>
      </c>
      <c r="G91" t="s">
        <v>3045</v>
      </c>
    </row>
    <row r="92" spans="1:7">
      <c r="A92" t="s">
        <v>3449</v>
      </c>
      <c r="B92" t="s">
        <v>3358</v>
      </c>
      <c r="C92">
        <v>202449</v>
      </c>
      <c r="D92">
        <v>232</v>
      </c>
      <c r="E92">
        <v>59</v>
      </c>
      <c r="F92">
        <v>25.43</v>
      </c>
      <c r="G92" t="s">
        <v>3058</v>
      </c>
    </row>
    <row r="93" spans="1:7">
      <c r="A93" t="s">
        <v>3450</v>
      </c>
      <c r="B93" t="s">
        <v>3364</v>
      </c>
      <c r="C93">
        <v>75891</v>
      </c>
      <c r="D93">
        <v>74</v>
      </c>
      <c r="E93">
        <v>5</v>
      </c>
      <c r="F93">
        <v>6.76</v>
      </c>
      <c r="G93" t="s">
        <v>3058</v>
      </c>
    </row>
    <row r="94" spans="1:7">
      <c r="A94" t="s">
        <v>3451</v>
      </c>
      <c r="B94" t="s">
        <v>3361</v>
      </c>
      <c r="C94">
        <v>131162</v>
      </c>
      <c r="D94">
        <v>359</v>
      </c>
      <c r="E94">
        <v>27</v>
      </c>
      <c r="F94">
        <v>7.52</v>
      </c>
      <c r="G94" t="s">
        <v>3099</v>
      </c>
    </row>
    <row r="95" spans="1:7">
      <c r="A95" t="s">
        <v>3452</v>
      </c>
      <c r="B95" t="s">
        <v>3364</v>
      </c>
      <c r="C95">
        <v>184652</v>
      </c>
      <c r="D95">
        <v>165</v>
      </c>
      <c r="E95">
        <v>40</v>
      </c>
      <c r="F95">
        <v>24.24</v>
      </c>
      <c r="G95" t="s">
        <v>3060</v>
      </c>
    </row>
    <row r="96" spans="1:7">
      <c r="A96" t="s">
        <v>3453</v>
      </c>
      <c r="B96" t="s">
        <v>3358</v>
      </c>
      <c r="C96">
        <v>314767</v>
      </c>
      <c r="D96">
        <v>297</v>
      </c>
      <c r="E96">
        <v>78</v>
      </c>
      <c r="F96">
        <v>26.26</v>
      </c>
      <c r="G96" t="s">
        <v>3085</v>
      </c>
    </row>
    <row r="97" spans="1:7">
      <c r="A97" t="s">
        <v>3454</v>
      </c>
      <c r="B97" t="s">
        <v>3370</v>
      </c>
      <c r="C97">
        <v>451107</v>
      </c>
      <c r="D97">
        <v>323</v>
      </c>
      <c r="E97">
        <v>28</v>
      </c>
      <c r="F97">
        <v>8.67</v>
      </c>
      <c r="G97" t="s">
        <v>3063</v>
      </c>
    </row>
    <row r="98" spans="1:7">
      <c r="A98" t="s">
        <v>3455</v>
      </c>
      <c r="B98" t="s">
        <v>3370</v>
      </c>
      <c r="C98">
        <v>406106</v>
      </c>
      <c r="D98">
        <v>471</v>
      </c>
      <c r="E98">
        <v>41</v>
      </c>
      <c r="F98">
        <v>8.6999999999999993</v>
      </c>
      <c r="G98" t="s">
        <v>3058</v>
      </c>
    </row>
    <row r="99" spans="1:7">
      <c r="A99" t="s">
        <v>3456</v>
      </c>
      <c r="B99" t="s">
        <v>3358</v>
      </c>
      <c r="C99">
        <v>414618</v>
      </c>
      <c r="D99">
        <v>246</v>
      </c>
      <c r="E99">
        <v>95</v>
      </c>
      <c r="F99">
        <v>38.619999999999997</v>
      </c>
      <c r="G99" t="s">
        <v>3035</v>
      </c>
    </row>
    <row r="100" spans="1:7">
      <c r="A100" t="s">
        <v>3457</v>
      </c>
      <c r="B100" t="s">
        <v>3370</v>
      </c>
      <c r="C100">
        <v>390484</v>
      </c>
      <c r="D100">
        <v>61</v>
      </c>
      <c r="E100">
        <v>21</v>
      </c>
      <c r="F100">
        <v>34.43</v>
      </c>
      <c r="G100" t="s">
        <v>3043</v>
      </c>
    </row>
    <row r="101" spans="1:7">
      <c r="A101" t="s">
        <v>3458</v>
      </c>
      <c r="B101" t="s">
        <v>3364</v>
      </c>
      <c r="C101">
        <v>352371</v>
      </c>
      <c r="D101">
        <v>499</v>
      </c>
      <c r="E101">
        <v>78</v>
      </c>
      <c r="F101">
        <v>15.63</v>
      </c>
      <c r="G101" t="s">
        <v>3051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election activeCell="F4" sqref="F4"/>
    </sheetView>
  </sheetViews>
  <sheetFormatPr defaultRowHeight="15"/>
  <cols>
    <col min="1" max="1" width="24" customWidth="1"/>
  </cols>
  <sheetData>
    <row r="1" spans="1:2">
      <c r="A1" s="1" t="s">
        <v>3459</v>
      </c>
      <c r="B1" s="1" t="s">
        <v>10</v>
      </c>
    </row>
    <row r="2" spans="1:2">
      <c r="A2" t="s">
        <v>18</v>
      </c>
      <c r="B2">
        <v>1000</v>
      </c>
    </row>
    <row r="3" spans="1:2">
      <c r="A3" t="s">
        <v>26</v>
      </c>
      <c r="B3">
        <v>156</v>
      </c>
    </row>
    <row r="4" spans="1:2">
      <c r="A4" t="s">
        <v>3460</v>
      </c>
      <c r="B4">
        <v>15.6</v>
      </c>
    </row>
    <row r="5" spans="1:2">
      <c r="A5" t="s">
        <v>44</v>
      </c>
      <c r="B5">
        <v>38855248</v>
      </c>
    </row>
    <row r="6" spans="1:2">
      <c r="A6" t="s">
        <v>50</v>
      </c>
      <c r="B6">
        <v>15.96</v>
      </c>
    </row>
    <row r="7" spans="1:2">
      <c r="A7" t="s">
        <v>3461</v>
      </c>
      <c r="B7">
        <v>5.54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8BDB7-34F2-4AE1-8F87-3DFDF78BD7F5}">
  <dimension ref="A1:C66"/>
  <sheetViews>
    <sheetView workbookViewId="0">
      <selection activeCell="A37" sqref="A35:B41"/>
    </sheetView>
  </sheetViews>
  <sheetFormatPr defaultRowHeight="15"/>
  <cols>
    <col min="1" max="1" width="12.28515625" bestFit="1" customWidth="1"/>
    <col min="2" max="2" width="15.5703125" bestFit="1" customWidth="1"/>
    <col min="3" max="3" width="18.7109375" bestFit="1" customWidth="1"/>
  </cols>
  <sheetData>
    <row r="1" spans="1:2">
      <c r="A1" s="2" t="s">
        <v>2</v>
      </c>
      <c r="B1" t="s">
        <v>3462</v>
      </c>
    </row>
    <row r="2" spans="1:2">
      <c r="A2" t="s">
        <v>47</v>
      </c>
      <c r="B2" s="19">
        <v>159</v>
      </c>
    </row>
    <row r="3" spans="1:2">
      <c r="A3" t="s">
        <v>13</v>
      </c>
      <c r="B3" s="19">
        <v>168</v>
      </c>
    </row>
    <row r="4" spans="1:2">
      <c r="A4" t="s">
        <v>21</v>
      </c>
      <c r="B4" s="19">
        <v>175</v>
      </c>
    </row>
    <row r="5" spans="1:2">
      <c r="A5" t="s">
        <v>29</v>
      </c>
      <c r="B5" s="19">
        <v>194</v>
      </c>
    </row>
    <row r="6" spans="1:2">
      <c r="A6" t="s">
        <v>63</v>
      </c>
      <c r="B6" s="19">
        <v>154</v>
      </c>
    </row>
    <row r="7" spans="1:2">
      <c r="A7" t="s">
        <v>35</v>
      </c>
      <c r="B7" s="19">
        <v>150</v>
      </c>
    </row>
    <row r="8" spans="1:2">
      <c r="A8" t="s">
        <v>3463</v>
      </c>
      <c r="B8" s="19">
        <v>1000</v>
      </c>
    </row>
    <row r="15" spans="1:2">
      <c r="A15" s="2" t="s">
        <v>6</v>
      </c>
      <c r="B15" t="s">
        <v>3462</v>
      </c>
    </row>
    <row r="16" spans="1:2">
      <c r="A16" t="s">
        <v>54</v>
      </c>
      <c r="B16">
        <v>156</v>
      </c>
    </row>
    <row r="17" spans="1:2">
      <c r="A17" t="s">
        <v>25</v>
      </c>
      <c r="B17">
        <v>154</v>
      </c>
    </row>
    <row r="18" spans="1:2">
      <c r="A18" t="s">
        <v>17</v>
      </c>
      <c r="B18">
        <v>183</v>
      </c>
    </row>
    <row r="19" spans="1:2">
      <c r="A19" t="s">
        <v>38</v>
      </c>
      <c r="B19">
        <v>154</v>
      </c>
    </row>
    <row r="20" spans="1:2">
      <c r="A20" t="s">
        <v>75</v>
      </c>
      <c r="B20">
        <v>183</v>
      </c>
    </row>
    <row r="21" spans="1:2">
      <c r="A21" t="s">
        <v>49</v>
      </c>
      <c r="B21">
        <v>170</v>
      </c>
    </row>
    <row r="22" spans="1:2">
      <c r="A22" t="s">
        <v>3463</v>
      </c>
      <c r="B22">
        <v>1000</v>
      </c>
    </row>
    <row r="25" spans="1:2">
      <c r="A25" s="2" t="s">
        <v>3</v>
      </c>
      <c r="B25" t="s">
        <v>3464</v>
      </c>
    </row>
    <row r="26" spans="1:2">
      <c r="A26" t="s">
        <v>22</v>
      </c>
      <c r="B26">
        <v>6930449</v>
      </c>
    </row>
    <row r="27" spans="1:2">
      <c r="A27" t="s">
        <v>58</v>
      </c>
      <c r="B27">
        <v>5723674</v>
      </c>
    </row>
    <row r="28" spans="1:2">
      <c r="A28" t="s">
        <v>36</v>
      </c>
      <c r="B28">
        <v>8121121</v>
      </c>
    </row>
    <row r="29" spans="1:2">
      <c r="A29" t="s">
        <v>78</v>
      </c>
      <c r="B29">
        <v>9353424</v>
      </c>
    </row>
    <row r="30" spans="1:2">
      <c r="A30" t="s">
        <v>14</v>
      </c>
      <c r="B30">
        <v>8726580</v>
      </c>
    </row>
    <row r="31" spans="1:2">
      <c r="A31" t="s">
        <v>3463</v>
      </c>
      <c r="B31">
        <v>38855248</v>
      </c>
    </row>
    <row r="35" spans="1:2">
      <c r="A35" s="2" t="s">
        <v>4</v>
      </c>
      <c r="B35" t="s">
        <v>3464</v>
      </c>
    </row>
    <row r="36" spans="1:2">
      <c r="A36" t="s">
        <v>30</v>
      </c>
      <c r="B36" s="19">
        <v>10540399</v>
      </c>
    </row>
    <row r="37" spans="1:2">
      <c r="A37" t="s">
        <v>23</v>
      </c>
      <c r="B37" s="19">
        <v>8890595</v>
      </c>
    </row>
    <row r="38" spans="1:2">
      <c r="A38" t="s">
        <v>73</v>
      </c>
      <c r="B38" s="19">
        <v>7116870</v>
      </c>
    </row>
    <row r="39" spans="1:2">
      <c r="A39" t="s">
        <v>42</v>
      </c>
      <c r="B39" s="19">
        <v>6956635</v>
      </c>
    </row>
    <row r="40" spans="1:2">
      <c r="A40" t="s">
        <v>15</v>
      </c>
      <c r="B40" s="19">
        <v>5350749</v>
      </c>
    </row>
    <row r="41" spans="1:2">
      <c r="A41" t="s">
        <v>3463</v>
      </c>
      <c r="B41" s="19">
        <v>38855248</v>
      </c>
    </row>
    <row r="47" spans="1:2">
      <c r="A47" s="2" t="s">
        <v>2470</v>
      </c>
      <c r="B47" t="s">
        <v>3465</v>
      </c>
    </row>
    <row r="48" spans="1:2">
      <c r="A48" t="s">
        <v>2485</v>
      </c>
      <c r="B48">
        <v>98</v>
      </c>
    </row>
    <row r="49" spans="1:3">
      <c r="A49" t="s">
        <v>2482</v>
      </c>
      <c r="B49">
        <v>97</v>
      </c>
    </row>
    <row r="50" spans="1:3">
      <c r="A50" t="s">
        <v>2476</v>
      </c>
      <c r="B50">
        <v>96</v>
      </c>
    </row>
    <row r="51" spans="1:3">
      <c r="A51" t="s">
        <v>2493</v>
      </c>
      <c r="B51">
        <v>98</v>
      </c>
    </row>
    <row r="52" spans="1:3">
      <c r="A52" t="s">
        <v>2479</v>
      </c>
      <c r="B52">
        <v>111</v>
      </c>
    </row>
    <row r="53" spans="1:3">
      <c r="A53" t="s">
        <v>3463</v>
      </c>
      <c r="B53">
        <v>500</v>
      </c>
    </row>
    <row r="60" spans="1:3">
      <c r="A60" s="2" t="s">
        <v>3349</v>
      </c>
      <c r="B60" t="s">
        <v>3466</v>
      </c>
      <c r="C60" t="s">
        <v>3467</v>
      </c>
    </row>
    <row r="61" spans="1:3">
      <c r="A61" t="s">
        <v>3355</v>
      </c>
      <c r="B61">
        <v>4600</v>
      </c>
      <c r="C61">
        <v>1021</v>
      </c>
    </row>
    <row r="62" spans="1:3">
      <c r="A62" t="s">
        <v>3358</v>
      </c>
      <c r="B62">
        <v>5865</v>
      </c>
      <c r="C62">
        <v>1292</v>
      </c>
    </row>
    <row r="63" spans="1:3">
      <c r="A63" t="s">
        <v>3361</v>
      </c>
      <c r="B63">
        <v>3876</v>
      </c>
      <c r="C63">
        <v>881</v>
      </c>
    </row>
    <row r="64" spans="1:3">
      <c r="A64" t="s">
        <v>3364</v>
      </c>
      <c r="B64">
        <v>6127</v>
      </c>
      <c r="C64">
        <v>1605</v>
      </c>
    </row>
    <row r="65" spans="1:3">
      <c r="A65" t="s">
        <v>3370</v>
      </c>
      <c r="B65">
        <v>5195</v>
      </c>
      <c r="C65">
        <v>918</v>
      </c>
    </row>
    <row r="66" spans="1:3">
      <c r="A66" t="s">
        <v>3463</v>
      </c>
      <c r="B66">
        <v>25663</v>
      </c>
      <c r="C66">
        <v>5717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55EBB-8C3E-4477-8175-05FD573E77BE}">
  <dimension ref="A1:B9"/>
  <sheetViews>
    <sheetView workbookViewId="0"/>
  </sheetViews>
  <sheetFormatPr defaultRowHeight="15"/>
  <cols>
    <col min="1" max="1" width="21.5703125" bestFit="1" customWidth="1"/>
    <col min="2" max="2" width="29.28515625" bestFit="1" customWidth="1"/>
  </cols>
  <sheetData>
    <row r="1" spans="1:2">
      <c r="A1" t="s">
        <v>9</v>
      </c>
      <c r="B1" t="s">
        <v>10</v>
      </c>
    </row>
    <row r="2" spans="1:2">
      <c r="A2" t="s">
        <v>18</v>
      </c>
    </row>
    <row r="3" spans="1:2">
      <c r="A3" t="s">
        <v>26</v>
      </c>
      <c r="B3">
        <f>COUNTIF(G:G,"Converted")</f>
        <v>0</v>
      </c>
    </row>
    <row r="4" spans="1:2">
      <c r="A4" t="s">
        <v>32</v>
      </c>
    </row>
    <row r="5" spans="1:2">
      <c r="A5" t="s">
        <v>39</v>
      </c>
    </row>
    <row r="6" spans="1:2">
      <c r="A6" t="s">
        <v>44</v>
      </c>
    </row>
    <row r="7" spans="1:2">
      <c r="A7" t="s">
        <v>50</v>
      </c>
    </row>
    <row r="8" spans="1:2">
      <c r="A8" t="s">
        <v>55</v>
      </c>
      <c r="B8">
        <f>COUNTA(VOC_Feedback!A:A)-1</f>
        <v>500</v>
      </c>
    </row>
    <row r="9" spans="1:2">
      <c r="A9" t="s">
        <v>60</v>
      </c>
      <c r="B9">
        <f>AVERAGE(VOC_Feedback!E2:E501)</f>
        <v>5.5380000000000003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97EF-41BA-4D4F-B76F-9C84FBE1E609}">
  <dimension ref="B1:M26"/>
  <sheetViews>
    <sheetView showGridLines="0" tabSelected="1" topLeftCell="I1" zoomScaleNormal="100" workbookViewId="0">
      <selection activeCell="Q9" sqref="Q9"/>
    </sheetView>
  </sheetViews>
  <sheetFormatPr defaultRowHeight="15"/>
  <cols>
    <col min="1" max="1" width="7.140625" customWidth="1"/>
    <col min="2" max="2" width="15.42578125" customWidth="1"/>
    <col min="3" max="3" width="8.28515625" customWidth="1"/>
    <col min="4" max="4" width="18" customWidth="1"/>
    <col min="5" max="5" width="6.7109375" customWidth="1"/>
    <col min="6" max="6" width="26" customWidth="1"/>
    <col min="7" max="7" width="16.28515625" customWidth="1"/>
    <col min="8" max="8" width="12.42578125" customWidth="1"/>
    <col min="9" max="9" width="24.5703125" customWidth="1"/>
    <col min="10" max="10" width="26.5703125" bestFit="1" customWidth="1"/>
  </cols>
  <sheetData>
    <row r="1" spans="2:13" ht="20.25" customHeight="1" thickBot="1">
      <c r="B1" s="20" t="s">
        <v>3468</v>
      </c>
      <c r="C1" s="21"/>
      <c r="D1" s="21"/>
      <c r="E1" s="21"/>
      <c r="F1" s="21"/>
      <c r="G1" s="21"/>
      <c r="H1" s="21"/>
      <c r="I1" s="21"/>
      <c r="J1" s="21"/>
      <c r="K1" s="21"/>
      <c r="L1" s="21"/>
      <c r="M1" s="22"/>
    </row>
    <row r="2" spans="2:13" ht="21">
      <c r="B2" s="9" t="s">
        <v>18</v>
      </c>
      <c r="C2" s="10"/>
      <c r="D2" s="10"/>
      <c r="E2" s="11" t="s">
        <v>26</v>
      </c>
      <c r="F2" s="11"/>
      <c r="G2" s="11"/>
      <c r="H2" s="11" t="s">
        <v>39</v>
      </c>
      <c r="I2" s="11"/>
      <c r="J2" s="11" t="s">
        <v>7</v>
      </c>
      <c r="K2" s="11"/>
      <c r="L2" s="12"/>
      <c r="M2" s="8"/>
    </row>
    <row r="3" spans="2:13" ht="21.75" thickBot="1">
      <c r="B3" s="13"/>
      <c r="C3" s="14">
        <v>1000</v>
      </c>
      <c r="D3" s="14"/>
      <c r="E3" s="15"/>
      <c r="F3" s="15">
        <v>156</v>
      </c>
      <c r="G3" s="15"/>
      <c r="H3" s="15"/>
      <c r="I3" s="16">
        <v>0.156</v>
      </c>
      <c r="J3" s="15"/>
      <c r="K3" s="17" t="s">
        <v>3469</v>
      </c>
      <c r="L3" s="18"/>
      <c r="M3" s="7"/>
    </row>
    <row r="4" spans="2:13">
      <c r="B4" s="3"/>
      <c r="M4" s="4"/>
    </row>
    <row r="5" spans="2:13">
      <c r="B5" s="3"/>
      <c r="M5" s="4"/>
    </row>
    <row r="6" spans="2:13">
      <c r="B6" s="3"/>
      <c r="M6" s="4"/>
    </row>
    <row r="7" spans="2:13">
      <c r="B7" s="3"/>
      <c r="M7" s="4"/>
    </row>
    <row r="8" spans="2:13">
      <c r="B8" s="3"/>
      <c r="M8" s="4"/>
    </row>
    <row r="9" spans="2:13">
      <c r="B9" s="3"/>
      <c r="M9" s="4"/>
    </row>
    <row r="10" spans="2:13">
      <c r="B10" s="3"/>
      <c r="M10" s="4"/>
    </row>
    <row r="11" spans="2:13">
      <c r="B11" s="3"/>
      <c r="M11" s="4"/>
    </row>
    <row r="12" spans="2:13">
      <c r="B12" s="3"/>
      <c r="M12" s="4"/>
    </row>
    <row r="13" spans="2:13">
      <c r="B13" s="3"/>
      <c r="M13" s="4"/>
    </row>
    <row r="14" spans="2:13">
      <c r="B14" s="3"/>
      <c r="M14" s="4"/>
    </row>
    <row r="15" spans="2:13">
      <c r="B15" s="3"/>
      <c r="M15" s="4"/>
    </row>
    <row r="16" spans="2:13">
      <c r="B16" s="3"/>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ht="15.75" thickBot="1">
      <c r="B26" s="5"/>
      <c r="C26" s="6"/>
      <c r="D26" s="6"/>
      <c r="E26" s="6"/>
      <c r="F26" s="6"/>
      <c r="G26" s="6"/>
      <c r="H26" s="6"/>
      <c r="I26" s="6"/>
      <c r="J26" s="6"/>
      <c r="K26" s="6"/>
      <c r="L26" s="6"/>
      <c r="M26" s="7"/>
    </row>
  </sheetData>
  <mergeCells count="1">
    <mergeCell ref="B1:M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2026-05-26T07:33:01Z</dcterms:created>
  <dcterms:modified xsi:type="dcterms:W3CDTF">2026-06-01T13:55:53Z</dcterms:modified>
  <cp:category/>
  <cp:contentStatus/>
</cp:coreProperties>
</file>